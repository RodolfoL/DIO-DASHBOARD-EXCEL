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olfo\Downloads\"/>
    </mc:Choice>
  </mc:AlternateContent>
  <xr:revisionPtr revIDLastSave="0" documentId="13_ncr:1_{2827F53E-7E2D-4E48-8FFB-7C951BB314BD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30" i="3"/>
</calcChain>
</file>

<file path=xl/sharedStrings.xml><?xml version="1.0" encoding="utf-8"?>
<sst xmlns="http://schemas.openxmlformats.org/spreadsheetml/2006/main" count="2017" uniqueCount="322">
  <si>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</si>
  <si>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</si>
  <si>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</si>
  <si>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</si>
  <si>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</si>
  <si>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</si>
  <si>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</si>
  <si>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</si>
  <si>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</si>
  <si>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</si>
  <si>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</si>
  <si>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</si>
  <si>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</si>
  <si>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</si>
  <si>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</si>
  <si>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</si>
  <si>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</si>
  <si>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</si>
  <si>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</si>
  <si>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</si>
  <si>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</si>
  <si>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</si>
  <si>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</si>
  <si>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</si>
  <si>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</si>
  <si>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</si>
  <si>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</si>
  <si>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</si>
  <si>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</si>
  <si>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</si>
  <si>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</si>
  <si>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</si>
  <si>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</si>
  <si>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</si>
  <si>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</si>
  <si>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</si>
  <si>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</si>
  <si>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</si>
  <si>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</si>
  <si>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</si>
  <si>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</si>
  <si>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</si>
  <si>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</si>
  <si>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</si>
  <si>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</si>
  <si>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</si>
  <si>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</si>
  <si>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</si>
  <si>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</si>
  <si>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</si>
  <si>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</si>
  <si>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</si>
  <si>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</si>
  <si>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</si>
  <si>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</si>
  <si>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</si>
  <si>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</si>
  <si>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</si>
  <si>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</si>
  <si>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</si>
  <si>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</si>
  <si>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</si>
  <si>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</si>
  <si>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</si>
  <si>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</si>
  <si>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</si>
  <si>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</si>
  <si>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</si>
  <si>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</si>
  <si>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</si>
  <si>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</si>
  <si>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</si>
  <si>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</si>
  <si>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</si>
  <si>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</si>
  <si>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</si>
  <si>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</si>
  <si>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</si>
  <si>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</si>
  <si>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</si>
  <si>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</si>
  <si>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</si>
  <si>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</si>
  <si>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</si>
  <si>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</si>
  <si>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</si>
  <si>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</si>
  <si>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</si>
  <si>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</si>
  <si>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</si>
  <si>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</si>
  <si>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</si>
  <si>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</si>
  <si>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</si>
  <si>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</si>
  <si>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</si>
  <si>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</si>
  <si>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</si>
  <si>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</si>
  <si>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</si>
  <si>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</si>
  <si>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</si>
  <si>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</si>
  <si>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</si>
  <si>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</si>
  <si>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</si>
  <si>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</si>
  <si>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</si>
  <si>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</si>
  <si>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</si>
  <si>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</si>
  <si>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</si>
  <si>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</si>
  <si>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</si>
  <si>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</si>
  <si>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</si>
  <si>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</si>
  <si>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</si>
  <si>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</si>
  <si>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</si>
  <si>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</si>
  <si>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</si>
  <si>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</si>
  <si>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</si>
  <si>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</si>
  <si>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</si>
  <si>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</si>
  <si>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</si>
  <si>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</si>
  <si>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</si>
  <si>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</si>
  <si>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</si>
  <si>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</si>
  <si>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</si>
  <si>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</si>
  <si>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</si>
  <si>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</si>
  <si>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</si>
  <si>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</si>
  <si>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</si>
  <si>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</si>
  <si>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</si>
  <si>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</si>
  <si>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</si>
  <si>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</si>
  <si>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</si>
  <si>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</si>
  <si>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</si>
  <si>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</si>
  <si>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</si>
  <si>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</si>
  <si>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</si>
  <si>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</si>
  <si>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</si>
  <si>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</si>
  <si>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</si>
  <si>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</si>
  <si>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</si>
  <si>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</si>
  <si>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</si>
  <si>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</si>
  <si>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</si>
  <si>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</si>
  <si>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</si>
  <si>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</si>
  <si>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</si>
  <si>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</si>
  <si>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</si>
  <si>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</si>
  <si>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</si>
  <si>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</si>
  <si>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</si>
  <si>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</si>
  <si>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</si>
  <si>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</si>
  <si>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</si>
  <si>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</si>
  <si>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</si>
  <si>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</si>
  <si>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</si>
  <si>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</si>
  <si>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</si>
  <si>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</si>
  <si>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</si>
  <si>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</si>
  <si>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</si>
  <si>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</si>
  <si>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</si>
  <si>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</si>
  <si>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</si>
  <si>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</si>
  <si>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</si>
  <si>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</si>
  <si>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</si>
  <si>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</si>
  <si>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</si>
  <si>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</si>
  <si>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</si>
  <si>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</si>
  <si>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</si>
  <si>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</si>
  <si>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</si>
  <si>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</si>
  <si>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</si>
  <si>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</si>
  <si>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</si>
  <si>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</si>
  <si>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</si>
  <si>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</si>
  <si>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</si>
  <si>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</si>
  <si>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</si>
  <si>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</si>
  <si>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</si>
  <si>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</si>
  <si>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</si>
  <si>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</si>
  <si>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</si>
  <si>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</si>
  <si>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</si>
  <si>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</si>
  <si>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</si>
  <si>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</si>
  <si>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</si>
  <si>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</si>
  <si>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</si>
  <si>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</si>
  <si>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</si>
  <si>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</si>
  <si>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</si>
  <si>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</si>
  <si>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</si>
  <si>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</si>
  <si>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</si>
  <si>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</si>
  <si>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</si>
  <si>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</si>
  <si>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</si>
  <si>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</si>
  <si>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</si>
  <si>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</si>
  <si>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</si>
  <si>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</si>
  <si>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</si>
  <si>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</si>
  <si>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</si>
  <si>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</si>
  <si>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</si>
  <si>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</si>
  <si>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</si>
  <si>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</si>
  <si>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</si>
  <si>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</si>
  <si>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</si>
  <si>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</si>
  <si>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</si>
  <si>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</si>
  <si>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</si>
  <si>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</si>
  <si>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</si>
  <si>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</si>
  <si>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</si>
  <si>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</si>
  <si>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</si>
  <si>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</si>
  <si>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</si>
  <si>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</si>
  <si>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</si>
  <si>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</si>
  <si>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</si>
  <si>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</si>
  <si>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</si>
  <si>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</si>
  <si>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</si>
  <si>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</si>
  <si>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</si>
  <si>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</si>
  <si>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</si>
  <si>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</si>
  <si>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</si>
  <si>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</si>
  <si>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</si>
  <si>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</si>
  <si>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</si>
  <si>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</si>
  <si>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</si>
  <si>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</si>
  <si>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</si>
  <si>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</si>
  <si>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</si>
  <si>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</si>
  <si>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</si>
  <si>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</si>
  <si>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</si>
  <si>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</si>
  <si>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</si>
  <si>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</si>
  <si>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</si>
  <si>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</si>
  <si>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</si>
  <si>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</si>
  <si>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</si>
  <si>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</si>
  <si>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</si>
  <si>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</si>
  <si>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</si>
  <si>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</si>
  <si>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</si>
  <si>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</si>
  <si>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</si>
  <si>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</si>
  <si>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</si>
  <si>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</si>
  <si>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</si>
  <si>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</si>
  <si>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</si>
  <si>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VENDAS DE SUBSCRIÇÕES DO XBOX GAME PASS</t>
  </si>
  <si>
    <t>Soma de EA Play Season Pass</t>
  </si>
  <si>
    <t>QUANTIDADE DE VENDAS COM RENOVAÇÃO AUTOMÁTICA</t>
  </si>
  <si>
    <t>QUANTIDADE DE VENDAS DO EA SEASON PASS</t>
  </si>
  <si>
    <t>Soma de Minecraft Season Pass Price</t>
  </si>
  <si>
    <t>QUANTIDADE DE VENDAS DO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</si>
</sst>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9" tint="-0.249977111117893"/>
      <name val="Aptos Narrow"/>
      <family val="2"/>
      <scheme val="minor"/>
    </font>
    <font>
      <b/>
      <sz val="15"/>
      <color theme="9" tint="-0.249977111117893"/>
      <name val="Segoe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6" tint="-0.249977111117893"/>
      </bottom>
      <diagonal/>
    </border>
    <border>
      <left/>
      <right style="thick">
        <color rgb="FF00B050"/>
      </right>
      <top/>
      <bottom/>
      <diagonal/>
    </border>
    <border>
      <left/>
      <right style="thin">
        <color rgb="FF00B050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1" applyFont="1" applyBorder="1"/>
    <xf numFmtId="0" fontId="5" fillId="0" borderId="2" xfId="1" applyFont="1" applyBorder="1"/>
    <xf numFmtId="44" fontId="0" fillId="0" borderId="0" xfId="2" applyFont="1"/>
    <xf numFmtId="0" fontId="0" fillId="8" borderId="3" xfId="0" applyFill="1" applyBorder="1"/>
    <xf numFmtId="0" fontId="0" fillId="8" borderId="4" xfId="0" applyFill="1" applyBorder="1"/>
    <xf numFmtId="0" fontId="5" fillId="0" borderId="2" xfId="1" applyFont="1" applyBorder="1" applyAlignment="1">
      <alignment horizontal="left"/>
    </xf>
    <xf numFmtId="0" fontId="0" fillId="0" borderId="0" xfId="0" applyNumberFormat="1"/>
    <xf numFmtId="0" fontId="0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</dxf>
    <dxf>
      <font>
        <b/>
        <i val="0"/>
      </font>
      <fill>
        <patternFill>
          <bgColor rgb="FF00B05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8" xr9:uid="{EB6086BE-9D0D-4EC0-9B42-21E88D5C7233}">
      <tableStyleElement type="wholeTable" dxfId="15"/>
      <tableStyleElement type="headerRow" dxfId="14"/>
    </tableStyle>
  </tableStyles>
  <colors>
    <mruColors>
      <color rgb="FF00B050"/>
      <color rgb="FF22C55E"/>
      <color rgb="FFE8E6E9"/>
      <color rgb="FF2AE6B1"/>
      <color rgb="FFA5ADA5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6"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847044029609792E-2"/>
          <c:y val="5.6496329760624603E-2"/>
          <c:w val="0.91937309467824424"/>
          <c:h val="0.887007340478750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C̳álculos!$A$11:$A$13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C̳álculos!$B$11:$B$13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1-40F4-A93F-F4A2C344A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509712"/>
        <c:axId val="668541872"/>
      </c:barChart>
      <c:catAx>
        <c:axId val="66850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541872"/>
        <c:crosses val="autoZero"/>
        <c:auto val="1"/>
        <c:lblAlgn val="ctr"/>
        <c:lblOffset val="100"/>
        <c:noMultiLvlLbl val="0"/>
      </c:catAx>
      <c:valAx>
        <c:axId val="6685418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850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24342</xdr:colOff>
      <xdr:row>1</xdr:row>
      <xdr:rowOff>10587</xdr:rowOff>
    </xdr:from>
    <xdr:to>
      <xdr:col>2</xdr:col>
      <xdr:colOff>77592</xdr:colOff>
      <xdr:row>2</xdr:row>
      <xdr:rowOff>317837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C2A0AC-DF31-4F71-B7A1-7CB8789D8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23740" r="72772" b="22365"/>
        <a:stretch>
          <a:fillRect/>
        </a:stretch>
      </xdr:blipFill>
      <xdr:spPr>
        <a:xfrm>
          <a:off x="1844675" y="116420"/>
          <a:ext cx="720000" cy="72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66145</xdr:rowOff>
    </xdr:from>
    <xdr:to>
      <xdr:col>0</xdr:col>
      <xdr:colOff>1809750</xdr:colOff>
      <xdr:row>12</xdr:row>
      <xdr:rowOff>82815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4207751-92C3-44C5-B31C-6AD3288BD0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12333"/>
              <a:ext cx="1809750" cy="1326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113241</xdr:colOff>
      <xdr:row>7</xdr:row>
      <xdr:rowOff>9526</xdr:rowOff>
    </xdr:from>
    <xdr:to>
      <xdr:col>7</xdr:col>
      <xdr:colOff>418039</xdr:colOff>
      <xdr:row>12</xdr:row>
      <xdr:rowOff>150285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25973014-A58B-FB69-69B2-DAEC5E236354}"/>
            </a:ext>
          </a:extLst>
        </xdr:cNvPr>
        <xdr:cNvGrpSpPr/>
      </xdr:nvGrpSpPr>
      <xdr:grpSpPr>
        <a:xfrm>
          <a:off x="1930929" y="1382714"/>
          <a:ext cx="4027485" cy="1323446"/>
          <a:chOff x="1943100" y="962025"/>
          <a:chExt cx="3285322" cy="131445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D194B36-4B8E-7807-95B1-7F4EC13DAA20}"/>
              </a:ext>
            </a:extLst>
          </xdr:cNvPr>
          <xdr:cNvSpPr/>
        </xdr:nvSpPr>
        <xdr:spPr>
          <a:xfrm>
            <a:off x="1943100" y="971550"/>
            <a:ext cx="3228975" cy="11144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4A6A5EC-EFE0-40E2-ADB5-0B116F883375}"/>
              </a:ext>
            </a:extLst>
          </xdr:cNvPr>
          <xdr:cNvSpPr/>
        </xdr:nvSpPr>
        <xdr:spPr>
          <a:xfrm>
            <a:off x="3009097" y="1166813"/>
            <a:ext cx="2219325" cy="10001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4765700-D06E-4B24-8035-D831F4F57C74}" type="TxLink">
              <a:rPr lang="en-US" sz="3500" b="0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</a:rPr>
              <a:pPr algn="ctr"/>
              <a:t> R$ 600,00 </a:t>
            </a:fld>
            <a:endParaRPr lang="pt-BR" sz="3500">
              <a:solidFill>
                <a:schemeClr val="accent3">
                  <a:lumMod val="75000"/>
                </a:schemeClr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A876DE9E-E165-4604-BEFF-3318F12B14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45606" y="1057275"/>
            <a:ext cx="1055324" cy="121920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677F305-8CC9-FD0C-04D5-3ED77A79C7C6}"/>
              </a:ext>
            </a:extLst>
          </xdr:cNvPr>
          <xdr:cNvSpPr/>
        </xdr:nvSpPr>
        <xdr:spPr>
          <a:xfrm>
            <a:off x="1943100" y="962025"/>
            <a:ext cx="3228975" cy="304800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DE VENDAS DO EA SEASON PASS</a:t>
            </a:r>
          </a:p>
        </xdr:txBody>
      </xdr:sp>
    </xdr:grpSp>
    <xdr:clientData/>
  </xdr:twoCellAnchor>
  <xdr:twoCellAnchor editAs="absolute">
    <xdr:from>
      <xdr:col>7</xdr:col>
      <xdr:colOff>560916</xdr:colOff>
      <xdr:row>7</xdr:row>
      <xdr:rowOff>9526</xdr:rowOff>
    </xdr:from>
    <xdr:to>
      <xdr:col>14</xdr:col>
      <xdr:colOff>3174</xdr:colOff>
      <xdr:row>12</xdr:row>
      <xdr:rowOff>50273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6719220-7115-8282-11BF-0C301C81A964}"/>
            </a:ext>
          </a:extLst>
        </xdr:cNvPr>
        <xdr:cNvGrpSpPr/>
      </xdr:nvGrpSpPr>
      <xdr:grpSpPr>
        <a:xfrm>
          <a:off x="6101291" y="1382714"/>
          <a:ext cx="3982508" cy="1223434"/>
          <a:chOff x="6095999" y="962025"/>
          <a:chExt cx="3971924" cy="121443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62D7184-705B-4CE3-B3AF-6D3989EA5ADE}"/>
              </a:ext>
            </a:extLst>
          </xdr:cNvPr>
          <xdr:cNvGrpSpPr/>
        </xdr:nvGrpSpPr>
        <xdr:grpSpPr>
          <a:xfrm>
            <a:off x="6095999" y="962025"/>
            <a:ext cx="3971924" cy="1214438"/>
            <a:chOff x="1943100" y="962025"/>
            <a:chExt cx="3254107" cy="1214438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F6D26440-E0DD-C705-29C6-45557C123FB6}"/>
                </a:ext>
              </a:extLst>
            </xdr:cNvPr>
            <xdr:cNvSpPr/>
          </xdr:nvSpPr>
          <xdr:spPr>
            <a:xfrm>
              <a:off x="1943100" y="971550"/>
              <a:ext cx="3228975" cy="11144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0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ED636757-1AF4-EAA4-BA4B-23C60172BA53}"/>
                </a:ext>
              </a:extLst>
            </xdr:cNvPr>
            <xdr:cNvSpPr/>
          </xdr:nvSpPr>
          <xdr:spPr>
            <a:xfrm>
              <a:off x="2977883" y="1176338"/>
              <a:ext cx="2219324" cy="10001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7899364-9429-4C8D-8B8D-768AF39C1113}" type="TxLink">
                <a:rPr lang="en-US" sz="3500" b="0" i="0" u="none" strike="noStrike">
                  <a:solidFill>
                    <a:schemeClr val="accent3">
                      <a:lumMod val="75000"/>
                    </a:schemeClr>
                  </a:solidFill>
                  <a:latin typeface="Aptos Narrow"/>
                </a:rPr>
                <a:pPr algn="ctr"/>
                <a:t> R$ 920,00 </a:t>
              </a:fld>
              <a:endParaRPr lang="pt-BR" sz="35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251F868B-0A49-E0C8-15F2-56F00B2C06F0}"/>
                </a:ext>
              </a:extLst>
            </xdr:cNvPr>
            <xdr:cNvSpPr/>
          </xdr:nvSpPr>
          <xdr:spPr>
            <a:xfrm>
              <a:off x="1943100" y="962025"/>
              <a:ext cx="3228975" cy="304800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5612288-5C9D-4E47-B5CC-3F828D72EB94}"/>
              </a:ext>
            </a:extLst>
          </xdr:cNvPr>
          <xdr:cNvGrpSpPr/>
        </xdr:nvGrpSpPr>
        <xdr:grpSpPr>
          <a:xfrm>
            <a:off x="6372224" y="1400168"/>
            <a:ext cx="1162051" cy="514360"/>
            <a:chOff x="3495675" y="5400671"/>
            <a:chExt cx="1549476" cy="752490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873AAF9-B684-DB9C-9DE1-9C7439AE5A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9" y="5400671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8E7C554-5B54-4195-7CF7-B810E27898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47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104244</xdr:colOff>
      <xdr:row>12</xdr:row>
      <xdr:rowOff>183093</xdr:rowOff>
    </xdr:from>
    <xdr:to>
      <xdr:col>14</xdr:col>
      <xdr:colOff>10587</xdr:colOff>
      <xdr:row>26</xdr:row>
      <xdr:rowOff>21168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0F24813-E4E4-1B04-AE7C-24F03FEE1626}"/>
            </a:ext>
          </a:extLst>
        </xdr:cNvPr>
        <xdr:cNvGrpSpPr/>
      </xdr:nvGrpSpPr>
      <xdr:grpSpPr>
        <a:xfrm>
          <a:off x="1921932" y="2738968"/>
          <a:ext cx="8169280" cy="2505075"/>
          <a:chOff x="1882245" y="2320925"/>
          <a:chExt cx="8267172" cy="250507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2866A88-D16F-93F8-F376-ED31A31C7A8B}"/>
              </a:ext>
            </a:extLst>
          </xdr:cNvPr>
          <xdr:cNvGrpSpPr/>
        </xdr:nvGrpSpPr>
        <xdr:grpSpPr>
          <a:xfrm>
            <a:off x="1882245" y="2323836"/>
            <a:ext cx="8267172" cy="2502164"/>
            <a:chOff x="1404937" y="1095375"/>
            <a:chExt cx="5131594" cy="294084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182AD6C-0282-926F-42B0-77FDE3B08E84}"/>
                </a:ext>
              </a:extLst>
            </xdr:cNvPr>
            <xdr:cNvSpPr/>
          </xdr:nvSpPr>
          <xdr:spPr>
            <a:xfrm>
              <a:off x="1404937" y="1095375"/>
              <a:ext cx="5131594" cy="2940843"/>
            </a:xfrm>
            <a:prstGeom prst="roundRect">
              <a:avLst>
                <a:gd name="adj" fmla="val 4521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AFABF56-0571-4209-9116-2E04E2BBCDF7}"/>
                </a:ext>
              </a:extLst>
            </xdr:cNvPr>
            <xdr:cNvGraphicFramePr>
              <a:graphicFrameLocks/>
            </xdr:cNvGraphicFramePr>
          </xdr:nvGraphicFramePr>
          <xdr:xfrm>
            <a:off x="1409683" y="1126242"/>
            <a:ext cx="5095893" cy="290624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65898CE8-4375-4191-8307-62C709F72AB9}"/>
              </a:ext>
            </a:extLst>
          </xdr:cNvPr>
          <xdr:cNvSpPr/>
        </xdr:nvSpPr>
        <xdr:spPr>
          <a:xfrm>
            <a:off x="1895473" y="2320925"/>
            <a:ext cx="8253943" cy="307500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SUBSCRIÇÕES XBOX GAME PASS</a:t>
            </a:r>
          </a:p>
        </xdr:txBody>
      </xdr:sp>
    </xdr:grpSp>
    <xdr:clientData/>
  </xdr:twoCellAnchor>
  <xdr:twoCellAnchor>
    <xdr:from>
      <xdr:col>0</xdr:col>
      <xdr:colOff>275167</xdr:colOff>
      <xdr:row>1</xdr:row>
      <xdr:rowOff>10587</xdr:rowOff>
    </xdr:from>
    <xdr:to>
      <xdr:col>0</xdr:col>
      <xdr:colOff>1513417</xdr:colOff>
      <xdr:row>4</xdr:row>
      <xdr:rowOff>52917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DBB3C3F-BDC4-1F19-F726-403F2E0353E1}"/>
            </a:ext>
          </a:extLst>
        </xdr:cNvPr>
        <xdr:cNvGrpSpPr/>
      </xdr:nvGrpSpPr>
      <xdr:grpSpPr>
        <a:xfrm>
          <a:off x="275167" y="113775"/>
          <a:ext cx="1238250" cy="955142"/>
          <a:chOff x="275167" y="116420"/>
          <a:chExt cx="1238250" cy="963080"/>
        </a:xfrm>
      </xdr:grpSpPr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BF2997D5-63F0-4BEF-943C-FA499EE4F96B}"/>
              </a:ext>
            </a:extLst>
          </xdr:cNvPr>
          <xdr:cNvSpPr/>
        </xdr:nvSpPr>
        <xdr:spPr>
          <a:xfrm>
            <a:off x="534292" y="116420"/>
            <a:ext cx="720000" cy="720000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63F2285E-394C-CFA3-8108-E9050D71D514}"/>
              </a:ext>
            </a:extLst>
          </xdr:cNvPr>
          <xdr:cNvSpPr/>
        </xdr:nvSpPr>
        <xdr:spPr>
          <a:xfrm>
            <a:off x="275167" y="857250"/>
            <a:ext cx="1238250" cy="2222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BEM</a:t>
            </a:r>
            <a:r>
              <a:rPr lang="pt-BR" sz="1100" baseline="0"/>
              <a:t> VINDO, JOÃO</a:t>
            </a:r>
            <a:endParaRPr lang="pt-BR" sz="1100"/>
          </a:p>
        </xdr:txBody>
      </xdr:sp>
    </xdr:grpSp>
    <xdr:clientData/>
  </xdr:twoCellAnchor>
  <xdr:twoCellAnchor>
    <xdr:from>
      <xdr:col>0</xdr:col>
      <xdr:colOff>1819274</xdr:colOff>
      <xdr:row>3</xdr:row>
      <xdr:rowOff>0</xdr:rowOff>
    </xdr:from>
    <xdr:to>
      <xdr:col>10</xdr:col>
      <xdr:colOff>533400</xdr:colOff>
      <xdr:row>5</xdr:row>
      <xdr:rowOff>104775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2A5DF2AF-6B8F-4B63-AD61-92CDBCC5907C}"/>
            </a:ext>
          </a:extLst>
        </xdr:cNvPr>
        <xdr:cNvSpPr/>
      </xdr:nvSpPr>
      <xdr:spPr>
        <a:xfrm>
          <a:off x="1819274" y="914400"/>
          <a:ext cx="6076951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accent3"/>
              </a:solidFill>
            </a:rPr>
            <a:t>CÁLCULOS ESTIMADOS NO PERÍODO</a:t>
          </a:r>
          <a:r>
            <a:rPr lang="pt-BR" sz="900" baseline="0">
              <a:solidFill>
                <a:schemeClr val="accent3"/>
              </a:solidFill>
            </a:rPr>
            <a:t> DE 01/01/2024 - 31/12/2024 | DATA DE UPDATE 01/05/2026 11:15:00</a:t>
          </a:r>
          <a:endParaRPr lang="pt-BR" sz="900">
            <a:solidFill>
              <a:schemeClr val="accent3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fo" refreshedDate="46141.710123032404" createdVersion="8" refreshedVersion="8" minRefreshableVersion="3" recordCount="293" xr:uid="{02D5C07D-B4F6-4902-9C2C-EF8843AC9B97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823152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x v="0"/>
    <x v="0"/>
    <x v="0"/>
    <x v="0"/>
    <s v="Yes"/>
    <n v="20"/>
    <n v="5"/>
    <x v="0"/>
  </r>
  <r>
    <n v="3232"/>
    <s v="Maria Oliveira"/>
    <x v="1"/>
    <d v="2024-01-15T00:00:00"/>
    <x v="1"/>
    <x v="1"/>
    <x v="1"/>
    <x v="1"/>
    <x v="1"/>
    <s v="No"/>
    <n v="0"/>
    <n v="0"/>
    <x v="1"/>
  </r>
  <r>
    <n v="3233"/>
    <s v="Lucas Fernandes"/>
    <x v="2"/>
    <d v="2024-02-10T00:00:00"/>
    <x v="0"/>
    <x v="2"/>
    <x v="2"/>
    <x v="1"/>
    <x v="1"/>
    <s v="Yes"/>
    <n v="20"/>
    <n v="10"/>
    <x v="2"/>
  </r>
  <r>
    <n v="3234"/>
    <s v="Ana Souza"/>
    <x v="0"/>
    <d v="2024-02-20T00:00:00"/>
    <x v="1"/>
    <x v="0"/>
    <x v="0"/>
    <x v="0"/>
    <x v="0"/>
    <s v="Yes"/>
    <n v="20"/>
    <n v="3"/>
    <x v="3"/>
  </r>
  <r>
    <n v="3235"/>
    <s v="Pedro Gonçalves"/>
    <x v="1"/>
    <d v="2024-03-05T00:00:00"/>
    <x v="0"/>
    <x v="1"/>
    <x v="0"/>
    <x v="1"/>
    <x v="1"/>
    <s v="No"/>
    <n v="0"/>
    <n v="1"/>
    <x v="4"/>
  </r>
  <r>
    <n v="3236"/>
    <s v="Felipe Costa"/>
    <x v="2"/>
    <d v="2024-03-02T00:00:00"/>
    <x v="1"/>
    <x v="2"/>
    <x v="0"/>
    <x v="1"/>
    <x v="1"/>
    <s v="Yes"/>
    <n v="20"/>
    <n v="2"/>
    <x v="5"/>
  </r>
  <r>
    <n v="3237"/>
    <s v="Camila Ribeiro"/>
    <x v="0"/>
    <d v="2024-03-03T00:00:00"/>
    <x v="0"/>
    <x v="0"/>
    <x v="2"/>
    <x v="0"/>
    <x v="0"/>
    <s v="Yes"/>
    <n v="20"/>
    <n v="10"/>
    <x v="6"/>
  </r>
  <r>
    <n v="3238"/>
    <s v="André Mendes"/>
    <x v="1"/>
    <d v="2024-03-04T00:00:00"/>
    <x v="0"/>
    <x v="1"/>
    <x v="1"/>
    <x v="1"/>
    <x v="1"/>
    <s v="No"/>
    <n v="0"/>
    <n v="0"/>
    <x v="1"/>
  </r>
  <r>
    <n v="3239"/>
    <s v="Sofia Almeida"/>
    <x v="0"/>
    <d v="2024-03-05T00:00:00"/>
    <x v="1"/>
    <x v="0"/>
    <x v="0"/>
    <x v="0"/>
    <x v="0"/>
    <s v="Yes"/>
    <n v="20"/>
    <n v="5"/>
    <x v="0"/>
  </r>
  <r>
    <n v="3240"/>
    <s v="Bruno Martins"/>
    <x v="2"/>
    <d v="2024-03-06T00:00:00"/>
    <x v="0"/>
    <x v="2"/>
    <x v="2"/>
    <x v="1"/>
    <x v="1"/>
    <s v="Yes"/>
    <n v="20"/>
    <n v="15"/>
    <x v="7"/>
  </r>
  <r>
    <n v="3241"/>
    <s v="Rita Castro"/>
    <x v="1"/>
    <d v="2024-03-07T00:00:00"/>
    <x v="1"/>
    <x v="1"/>
    <x v="0"/>
    <x v="1"/>
    <x v="1"/>
    <s v="No"/>
    <n v="0"/>
    <n v="1"/>
    <x v="4"/>
  </r>
  <r>
    <n v="3242"/>
    <s v="Marco Túlio"/>
    <x v="0"/>
    <d v="2024-03-08T00:00:00"/>
    <x v="0"/>
    <x v="0"/>
    <x v="1"/>
    <x v="0"/>
    <x v="0"/>
    <s v="Yes"/>
    <n v="20"/>
    <n v="20"/>
    <x v="8"/>
  </r>
  <r>
    <n v="3243"/>
    <s v="Lívia Silveira"/>
    <x v="2"/>
    <d v="2024-03-09T00:00:00"/>
    <x v="1"/>
    <x v="2"/>
    <x v="0"/>
    <x v="1"/>
    <x v="1"/>
    <s v="Yes"/>
    <n v="20"/>
    <n v="10"/>
    <x v="2"/>
  </r>
  <r>
    <n v="3244"/>
    <s v="Diogo Sousa"/>
    <x v="1"/>
    <d v="2024-03-10T00:00:00"/>
    <x v="0"/>
    <x v="1"/>
    <x v="2"/>
    <x v="1"/>
    <x v="1"/>
    <s v="No"/>
    <n v="0"/>
    <n v="0"/>
    <x v="1"/>
  </r>
  <r>
    <n v="3245"/>
    <s v="Fernanda Lima"/>
    <x v="0"/>
    <d v="2024-03-11T00:00:00"/>
    <x v="1"/>
    <x v="0"/>
    <x v="0"/>
    <x v="0"/>
    <x v="0"/>
    <s v="Yes"/>
    <n v="20"/>
    <n v="8"/>
    <x v="9"/>
  </r>
  <r>
    <n v="3246"/>
    <s v="Caio Pereira"/>
    <x v="2"/>
    <d v="2024-03-12T00:00:00"/>
    <x v="0"/>
    <x v="2"/>
    <x v="1"/>
    <x v="1"/>
    <x v="1"/>
    <s v="Yes"/>
    <n v="20"/>
    <n v="12"/>
    <x v="10"/>
  </r>
  <r>
    <n v="3247"/>
    <s v="Beatriz Gomes"/>
    <x v="1"/>
    <d v="2024-03-13T00:00:00"/>
    <x v="1"/>
    <x v="1"/>
    <x v="0"/>
    <x v="1"/>
    <x v="1"/>
    <s v="No"/>
    <n v="0"/>
    <n v="2"/>
    <x v="11"/>
  </r>
  <r>
    <n v="3248"/>
    <s v="Cesar Oliveira"/>
    <x v="0"/>
    <d v="2024-03-14T00:00:00"/>
    <x v="0"/>
    <x v="0"/>
    <x v="2"/>
    <x v="0"/>
    <x v="0"/>
    <s v="Yes"/>
    <n v="20"/>
    <n v="7"/>
    <x v="12"/>
  </r>
  <r>
    <n v="3249"/>
    <s v="Débora Machado"/>
    <x v="2"/>
    <d v="2024-03-15T00:00:00"/>
    <x v="1"/>
    <x v="2"/>
    <x v="0"/>
    <x v="1"/>
    <x v="1"/>
    <s v="Yes"/>
    <n v="20"/>
    <n v="5"/>
    <x v="13"/>
  </r>
  <r>
    <n v="3250"/>
    <s v="Eduardo Vargas"/>
    <x v="1"/>
    <d v="2024-03-16T00:00:00"/>
    <x v="0"/>
    <x v="1"/>
    <x v="1"/>
    <x v="1"/>
    <x v="1"/>
    <s v="No"/>
    <n v="0"/>
    <n v="0"/>
    <x v="1"/>
  </r>
  <r>
    <n v="3251"/>
    <s v="Gabriela Santos"/>
    <x v="0"/>
    <d v="2024-03-17T00:00:00"/>
    <x v="1"/>
    <x v="0"/>
    <x v="0"/>
    <x v="0"/>
    <x v="0"/>
    <s v="Yes"/>
    <n v="20"/>
    <n v="3"/>
    <x v="3"/>
  </r>
  <r>
    <n v="3252"/>
    <s v="Henrique Dias"/>
    <x v="2"/>
    <d v="2024-03-18T00:00:00"/>
    <x v="0"/>
    <x v="2"/>
    <x v="2"/>
    <x v="1"/>
    <x v="1"/>
    <s v="Yes"/>
    <n v="20"/>
    <n v="15"/>
    <x v="7"/>
  </r>
  <r>
    <n v="3253"/>
    <s v="Isabela Moreira"/>
    <x v="1"/>
    <d v="2024-03-19T00:00:00"/>
    <x v="1"/>
    <x v="1"/>
    <x v="0"/>
    <x v="1"/>
    <x v="1"/>
    <s v="No"/>
    <n v="0"/>
    <n v="1"/>
    <x v="4"/>
  </r>
  <r>
    <n v="3254"/>
    <s v="Joaquim Barbosa"/>
    <x v="0"/>
    <d v="2024-03-20T00:00:00"/>
    <x v="0"/>
    <x v="0"/>
    <x v="1"/>
    <x v="0"/>
    <x v="0"/>
    <s v="Yes"/>
    <n v="20"/>
    <n v="20"/>
    <x v="8"/>
  </r>
  <r>
    <n v="3255"/>
    <s v="Lara Rocha"/>
    <x v="2"/>
    <d v="2024-03-21T00:00:00"/>
    <x v="1"/>
    <x v="2"/>
    <x v="0"/>
    <x v="1"/>
    <x v="1"/>
    <s v="Yes"/>
    <n v="20"/>
    <n v="10"/>
    <x v="2"/>
  </r>
  <r>
    <n v="3256"/>
    <s v="Matheus Silva"/>
    <x v="1"/>
    <d v="2024-03-22T00:00:00"/>
    <x v="0"/>
    <x v="1"/>
    <x v="2"/>
    <x v="1"/>
    <x v="1"/>
    <s v="No"/>
    <n v="0"/>
    <n v="0"/>
    <x v="1"/>
  </r>
  <r>
    <n v="3257"/>
    <s v="Nicole Costa"/>
    <x v="0"/>
    <d v="2024-03-23T00:00:00"/>
    <x v="1"/>
    <x v="0"/>
    <x v="0"/>
    <x v="0"/>
    <x v="0"/>
    <s v="Yes"/>
    <n v="20"/>
    <n v="5"/>
    <x v="0"/>
  </r>
  <r>
    <n v="3258"/>
    <s v="Otávio Mendonça"/>
    <x v="2"/>
    <d v="2024-03-24T00:00:00"/>
    <x v="0"/>
    <x v="2"/>
    <x v="1"/>
    <x v="1"/>
    <x v="1"/>
    <s v="Yes"/>
    <n v="20"/>
    <n v="15"/>
    <x v="7"/>
  </r>
  <r>
    <n v="3259"/>
    <s v="Paula Ferreira"/>
    <x v="1"/>
    <d v="2024-03-25T00:00:00"/>
    <x v="1"/>
    <x v="1"/>
    <x v="0"/>
    <x v="1"/>
    <x v="1"/>
    <s v="No"/>
    <n v="0"/>
    <n v="1"/>
    <x v="4"/>
  </r>
  <r>
    <n v="3260"/>
    <s v="Raquel Alves"/>
    <x v="0"/>
    <d v="2024-03-26T00:00:00"/>
    <x v="0"/>
    <x v="0"/>
    <x v="2"/>
    <x v="0"/>
    <x v="0"/>
    <s v="Yes"/>
    <n v="20"/>
    <n v="7"/>
    <x v="12"/>
  </r>
  <r>
    <n v="3261"/>
    <s v="Samuel Pires"/>
    <x v="2"/>
    <d v="2024-03-27T00:00:00"/>
    <x v="1"/>
    <x v="2"/>
    <x v="0"/>
    <x v="1"/>
    <x v="1"/>
    <s v="Yes"/>
    <n v="20"/>
    <n v="10"/>
    <x v="2"/>
  </r>
  <r>
    <n v="3262"/>
    <s v="Tânia Barros"/>
    <x v="1"/>
    <d v="2024-03-28T00:00:00"/>
    <x v="0"/>
    <x v="1"/>
    <x v="1"/>
    <x v="1"/>
    <x v="1"/>
    <s v="No"/>
    <n v="0"/>
    <n v="0"/>
    <x v="1"/>
  </r>
  <r>
    <n v="3263"/>
    <s v="Vinicius Lima"/>
    <x v="0"/>
    <d v="2024-03-29T00:00:00"/>
    <x v="1"/>
    <x v="0"/>
    <x v="0"/>
    <x v="0"/>
    <x v="0"/>
    <s v="Yes"/>
    <n v="20"/>
    <n v="3"/>
    <x v="3"/>
  </r>
  <r>
    <n v="3264"/>
    <s v="Yasmin Teixeira"/>
    <x v="2"/>
    <d v="2024-03-30T00:00:00"/>
    <x v="0"/>
    <x v="2"/>
    <x v="2"/>
    <x v="1"/>
    <x v="1"/>
    <s v="Yes"/>
    <n v="20"/>
    <n v="15"/>
    <x v="7"/>
  </r>
  <r>
    <n v="3265"/>
    <s v="Zé Carlos"/>
    <x v="1"/>
    <d v="2024-03-31T00:00:00"/>
    <x v="1"/>
    <x v="1"/>
    <x v="0"/>
    <x v="1"/>
    <x v="1"/>
    <s v="No"/>
    <n v="0"/>
    <n v="1"/>
    <x v="4"/>
  </r>
  <r>
    <n v="3266"/>
    <s v="Amanda Nogueira"/>
    <x v="1"/>
    <d v="2024-04-01T00:00:00"/>
    <x v="0"/>
    <x v="1"/>
    <x v="0"/>
    <x v="1"/>
    <x v="1"/>
    <s v="No"/>
    <n v="0"/>
    <n v="0"/>
    <x v="1"/>
  </r>
  <r>
    <n v="3267"/>
    <s v="Bruno Cavalheiro"/>
    <x v="0"/>
    <d v="2024-04-02T00:00:00"/>
    <x v="1"/>
    <x v="0"/>
    <x v="2"/>
    <x v="0"/>
    <x v="0"/>
    <s v="Yes"/>
    <n v="20"/>
    <n v="7"/>
    <x v="12"/>
  </r>
  <r>
    <n v="3268"/>
    <s v="Carla Dias"/>
    <x v="2"/>
    <d v="2024-04-03T00:00:00"/>
    <x v="0"/>
    <x v="2"/>
    <x v="1"/>
    <x v="1"/>
    <x v="1"/>
    <s v="Yes"/>
    <n v="20"/>
    <n v="10"/>
    <x v="2"/>
  </r>
  <r>
    <n v="3269"/>
    <s v="Diego Fontes"/>
    <x v="1"/>
    <d v="2024-04-04T00:00:00"/>
    <x v="1"/>
    <x v="1"/>
    <x v="2"/>
    <x v="1"/>
    <x v="1"/>
    <s v="No"/>
    <n v="0"/>
    <n v="1"/>
    <x v="4"/>
  </r>
  <r>
    <n v="3270"/>
    <s v="Eunice Lima"/>
    <x v="0"/>
    <d v="2024-04-05T00:00:00"/>
    <x v="0"/>
    <x v="0"/>
    <x v="0"/>
    <x v="0"/>
    <x v="0"/>
    <s v="Yes"/>
    <n v="20"/>
    <n v="15"/>
    <x v="14"/>
  </r>
  <r>
    <n v="3271"/>
    <s v="Fábio Martins"/>
    <x v="2"/>
    <d v="2024-04-06T00:00:00"/>
    <x v="1"/>
    <x v="2"/>
    <x v="0"/>
    <x v="1"/>
    <x v="1"/>
    <s v="Yes"/>
    <n v="20"/>
    <n v="5"/>
    <x v="13"/>
  </r>
  <r>
    <n v="3272"/>
    <s v="Gisele Araújo"/>
    <x v="1"/>
    <d v="2024-04-07T00:00:00"/>
    <x v="0"/>
    <x v="1"/>
    <x v="1"/>
    <x v="1"/>
    <x v="1"/>
    <s v="No"/>
    <n v="0"/>
    <n v="0"/>
    <x v="1"/>
  </r>
  <r>
    <n v="3273"/>
    <s v="Hélio Castro"/>
    <x v="0"/>
    <d v="2024-04-08T00:00:00"/>
    <x v="1"/>
    <x v="0"/>
    <x v="2"/>
    <x v="0"/>
    <x v="0"/>
    <s v="Yes"/>
    <n v="20"/>
    <n v="20"/>
    <x v="8"/>
  </r>
  <r>
    <n v="3274"/>
    <s v="Ingrid Menezes"/>
    <x v="2"/>
    <d v="2024-04-09T00:00:00"/>
    <x v="0"/>
    <x v="2"/>
    <x v="2"/>
    <x v="1"/>
    <x v="1"/>
    <s v="Yes"/>
    <n v="20"/>
    <n v="12"/>
    <x v="10"/>
  </r>
  <r>
    <n v="3275"/>
    <s v="Jorge Baptista"/>
    <x v="1"/>
    <d v="2024-04-10T00:00:00"/>
    <x v="1"/>
    <x v="1"/>
    <x v="0"/>
    <x v="1"/>
    <x v="1"/>
    <s v="No"/>
    <n v="0"/>
    <n v="2"/>
    <x v="11"/>
  </r>
  <r>
    <n v="3276"/>
    <s v="Kléber Oliveira"/>
    <x v="0"/>
    <d v="2024-04-11T00:00:00"/>
    <x v="0"/>
    <x v="0"/>
    <x v="1"/>
    <x v="0"/>
    <x v="0"/>
    <s v="Yes"/>
    <n v="20"/>
    <n v="5"/>
    <x v="0"/>
  </r>
  <r>
    <n v="3277"/>
    <s v="Luciana Freitas"/>
    <x v="2"/>
    <d v="2024-04-12T00:00:00"/>
    <x v="1"/>
    <x v="2"/>
    <x v="0"/>
    <x v="1"/>
    <x v="1"/>
    <s v="Yes"/>
    <n v="20"/>
    <n v="10"/>
    <x v="2"/>
  </r>
  <r>
    <n v="3278"/>
    <s v="Márcia Eller"/>
    <x v="1"/>
    <d v="2024-04-13T00:00:00"/>
    <x v="0"/>
    <x v="1"/>
    <x v="2"/>
    <x v="1"/>
    <x v="1"/>
    <s v="No"/>
    <n v="0"/>
    <n v="0"/>
    <x v="1"/>
  </r>
  <r>
    <n v="3279"/>
    <s v="Nilo Peçanha"/>
    <x v="0"/>
    <d v="2024-04-14T00:00:00"/>
    <x v="1"/>
    <x v="0"/>
    <x v="0"/>
    <x v="0"/>
    <x v="0"/>
    <s v="Yes"/>
    <n v="20"/>
    <n v="3"/>
    <x v="3"/>
  </r>
  <r>
    <n v="3280"/>
    <s v="Oscar Neves"/>
    <x v="2"/>
    <d v="2024-04-15T00:00:00"/>
    <x v="0"/>
    <x v="2"/>
    <x v="1"/>
    <x v="1"/>
    <x v="1"/>
    <s v="Yes"/>
    <n v="20"/>
    <n v="15"/>
    <x v="7"/>
  </r>
  <r>
    <n v="3281"/>
    <s v="Patrícia Soares"/>
    <x v="1"/>
    <d v="2024-04-16T00:00:00"/>
    <x v="1"/>
    <x v="1"/>
    <x v="0"/>
    <x v="1"/>
    <x v="1"/>
    <s v="No"/>
    <n v="0"/>
    <n v="1"/>
    <x v="4"/>
  </r>
  <r>
    <n v="3282"/>
    <s v="Quirino Gonçalves"/>
    <x v="0"/>
    <d v="2024-04-17T00:00:00"/>
    <x v="0"/>
    <x v="0"/>
    <x v="2"/>
    <x v="0"/>
    <x v="0"/>
    <s v="Yes"/>
    <n v="20"/>
    <n v="7"/>
    <x v="12"/>
  </r>
  <r>
    <n v="3283"/>
    <s v="Raul Machado"/>
    <x v="2"/>
    <d v="2024-04-18T00:00:00"/>
    <x v="1"/>
    <x v="2"/>
    <x v="0"/>
    <x v="1"/>
    <x v="1"/>
    <s v="Yes"/>
    <n v="20"/>
    <n v="10"/>
    <x v="2"/>
  </r>
  <r>
    <n v="3284"/>
    <s v="Sônia Lobo"/>
    <x v="1"/>
    <d v="2024-04-19T00:00:00"/>
    <x v="0"/>
    <x v="1"/>
    <x v="1"/>
    <x v="1"/>
    <x v="1"/>
    <s v="No"/>
    <n v="0"/>
    <n v="0"/>
    <x v="1"/>
  </r>
  <r>
    <n v="3285"/>
    <s v="Tiago Ramos"/>
    <x v="0"/>
    <d v="2024-04-20T00:00:00"/>
    <x v="1"/>
    <x v="0"/>
    <x v="0"/>
    <x v="0"/>
    <x v="0"/>
    <s v="Yes"/>
    <n v="20"/>
    <n v="20"/>
    <x v="8"/>
  </r>
  <r>
    <n v="3286"/>
    <s v="Ugo Pires"/>
    <x v="2"/>
    <d v="2024-04-21T00:00:00"/>
    <x v="0"/>
    <x v="2"/>
    <x v="2"/>
    <x v="1"/>
    <x v="1"/>
    <s v="Yes"/>
    <n v="20"/>
    <n v="15"/>
    <x v="7"/>
  </r>
  <r>
    <n v="3287"/>
    <s v="Valéria Nobre"/>
    <x v="1"/>
    <d v="2024-04-22T00:00:00"/>
    <x v="1"/>
    <x v="1"/>
    <x v="0"/>
    <x v="1"/>
    <x v="1"/>
    <s v="No"/>
    <n v="0"/>
    <n v="1"/>
    <x v="4"/>
  </r>
  <r>
    <n v="3288"/>
    <s v="William Siqueira"/>
    <x v="0"/>
    <d v="2024-04-23T00:00:00"/>
    <x v="0"/>
    <x v="0"/>
    <x v="1"/>
    <x v="0"/>
    <x v="0"/>
    <s v="Yes"/>
    <n v="20"/>
    <n v="3"/>
    <x v="3"/>
  </r>
  <r>
    <n v="3289"/>
    <s v="Xuxa Meneghel"/>
    <x v="2"/>
    <d v="2024-04-24T00:00:00"/>
    <x v="1"/>
    <x v="2"/>
    <x v="0"/>
    <x v="1"/>
    <x v="1"/>
    <s v="Yes"/>
    <n v="20"/>
    <n v="10"/>
    <x v="2"/>
  </r>
  <r>
    <n v="3290"/>
    <s v="Yara Figueiredo"/>
    <x v="1"/>
    <d v="2024-04-25T00:00:00"/>
    <x v="0"/>
    <x v="1"/>
    <x v="2"/>
    <x v="1"/>
    <x v="1"/>
    <s v="No"/>
    <n v="0"/>
    <n v="0"/>
    <x v="1"/>
  </r>
  <r>
    <n v="3291"/>
    <s v="Zacarias Alves"/>
    <x v="0"/>
    <d v="2024-04-26T00:00:00"/>
    <x v="1"/>
    <x v="0"/>
    <x v="0"/>
    <x v="0"/>
    <x v="0"/>
    <s v="Yes"/>
    <n v="20"/>
    <n v="5"/>
    <x v="0"/>
  </r>
  <r>
    <n v="3292"/>
    <s v="Amanda Bynes"/>
    <x v="2"/>
    <d v="2024-04-27T00:00:00"/>
    <x v="0"/>
    <x v="2"/>
    <x v="1"/>
    <x v="1"/>
    <x v="1"/>
    <s v="Yes"/>
    <n v="20"/>
    <n v="15"/>
    <x v="7"/>
  </r>
  <r>
    <n v="3293"/>
    <s v="Bruno Mars"/>
    <x v="1"/>
    <d v="2024-04-28T00:00:00"/>
    <x v="1"/>
    <x v="1"/>
    <x v="0"/>
    <x v="1"/>
    <x v="1"/>
    <s v="No"/>
    <n v="0"/>
    <n v="1"/>
    <x v="4"/>
  </r>
  <r>
    <n v="3294"/>
    <s v="Carla Bruni"/>
    <x v="0"/>
    <d v="2024-04-29T00:00:00"/>
    <x v="0"/>
    <x v="0"/>
    <x v="2"/>
    <x v="0"/>
    <x v="0"/>
    <s v="Yes"/>
    <n v="20"/>
    <n v="20"/>
    <x v="8"/>
  </r>
  <r>
    <n v="3295"/>
    <s v="Diego Maradona"/>
    <x v="2"/>
    <d v="2024-04-30T00:00:00"/>
    <x v="1"/>
    <x v="2"/>
    <x v="0"/>
    <x v="1"/>
    <x v="1"/>
    <s v="Yes"/>
    <n v="20"/>
    <n v="5"/>
    <x v="13"/>
  </r>
  <r>
    <n v="3296"/>
    <s v="Estela Marques"/>
    <x v="1"/>
    <d v="2024-05-01T00:00:00"/>
    <x v="1"/>
    <x v="1"/>
    <x v="0"/>
    <x v="1"/>
    <x v="1"/>
    <s v="No"/>
    <n v="0"/>
    <n v="0"/>
    <x v="1"/>
  </r>
  <r>
    <n v="3297"/>
    <s v="Fábio Nobre"/>
    <x v="0"/>
    <d v="2024-05-02T00:00:00"/>
    <x v="0"/>
    <x v="0"/>
    <x v="2"/>
    <x v="0"/>
    <x v="0"/>
    <s v="Yes"/>
    <n v="20"/>
    <n v="7"/>
    <x v="12"/>
  </r>
  <r>
    <n v="3298"/>
    <s v="Gabriel Oliveira"/>
    <x v="2"/>
    <d v="2024-05-03T00:00:00"/>
    <x v="1"/>
    <x v="2"/>
    <x v="1"/>
    <x v="1"/>
    <x v="1"/>
    <s v="Yes"/>
    <n v="20"/>
    <n v="10"/>
    <x v="2"/>
  </r>
  <r>
    <n v="3299"/>
    <s v="Helena Santos"/>
    <x v="1"/>
    <d v="2024-05-04T00:00:00"/>
    <x v="0"/>
    <x v="1"/>
    <x v="2"/>
    <x v="1"/>
    <x v="1"/>
    <s v="No"/>
    <n v="0"/>
    <n v="1"/>
    <x v="4"/>
  </r>
  <r>
    <n v="3300"/>
    <s v="Ivan Carvalho"/>
    <x v="0"/>
    <d v="2024-05-05T00:00:00"/>
    <x v="1"/>
    <x v="0"/>
    <x v="0"/>
    <x v="0"/>
    <x v="0"/>
    <s v="Yes"/>
    <n v="20"/>
    <n v="15"/>
    <x v="14"/>
  </r>
  <r>
    <n v="3301"/>
    <s v="Júlia Ferreira"/>
    <x v="2"/>
    <d v="2024-05-06T00:00:00"/>
    <x v="0"/>
    <x v="2"/>
    <x v="0"/>
    <x v="1"/>
    <x v="1"/>
    <s v="Yes"/>
    <n v="20"/>
    <n v="5"/>
    <x v="13"/>
  </r>
  <r>
    <n v="3302"/>
    <s v="Karla Alves"/>
    <x v="1"/>
    <d v="2024-05-07T00:00:00"/>
    <x v="1"/>
    <x v="1"/>
    <x v="1"/>
    <x v="1"/>
    <x v="1"/>
    <s v="No"/>
    <n v="0"/>
    <n v="0"/>
    <x v="1"/>
  </r>
  <r>
    <n v="3303"/>
    <s v="Lucas Mendes"/>
    <x v="0"/>
    <d v="2024-05-08T00:00:00"/>
    <x v="0"/>
    <x v="0"/>
    <x v="2"/>
    <x v="0"/>
    <x v="0"/>
    <s v="Yes"/>
    <n v="20"/>
    <n v="20"/>
    <x v="8"/>
  </r>
  <r>
    <n v="3304"/>
    <s v="Mônica Gomes"/>
    <x v="2"/>
    <d v="2024-05-09T00:00:00"/>
    <x v="1"/>
    <x v="2"/>
    <x v="2"/>
    <x v="1"/>
    <x v="1"/>
    <s v="Yes"/>
    <n v="20"/>
    <n v="12"/>
    <x v="10"/>
  </r>
  <r>
    <n v="3305"/>
    <s v="Norberto Queiroz"/>
    <x v="1"/>
    <d v="2024-05-10T00:00:00"/>
    <x v="0"/>
    <x v="1"/>
    <x v="0"/>
    <x v="1"/>
    <x v="1"/>
    <s v="No"/>
    <n v="0"/>
    <n v="2"/>
    <x v="11"/>
  </r>
  <r>
    <n v="3306"/>
    <s v="Otávio Barros"/>
    <x v="0"/>
    <d v="2024-05-11T00:00:00"/>
    <x v="1"/>
    <x v="0"/>
    <x v="1"/>
    <x v="0"/>
    <x v="0"/>
    <s v="Yes"/>
    <n v="20"/>
    <n v="5"/>
    <x v="0"/>
  </r>
  <r>
    <n v="3307"/>
    <s v="Paula Vieira"/>
    <x v="2"/>
    <d v="2024-05-12T00:00:00"/>
    <x v="0"/>
    <x v="2"/>
    <x v="0"/>
    <x v="1"/>
    <x v="1"/>
    <s v="Yes"/>
    <n v="20"/>
    <n v="10"/>
    <x v="2"/>
  </r>
  <r>
    <n v="3308"/>
    <s v="Quentin Ramos"/>
    <x v="1"/>
    <d v="2024-05-13T00:00:00"/>
    <x v="1"/>
    <x v="1"/>
    <x v="2"/>
    <x v="1"/>
    <x v="1"/>
    <s v="No"/>
    <n v="0"/>
    <n v="0"/>
    <x v="1"/>
  </r>
  <r>
    <n v="3309"/>
    <s v="Raquel Novaes"/>
    <x v="0"/>
    <d v="2024-05-14T00:00:00"/>
    <x v="0"/>
    <x v="0"/>
    <x v="0"/>
    <x v="0"/>
    <x v="0"/>
    <s v="Yes"/>
    <n v="20"/>
    <n v="3"/>
    <x v="3"/>
  </r>
  <r>
    <n v="3310"/>
    <s v="Samantha Lopes"/>
    <x v="2"/>
    <d v="2024-05-15T00:00:00"/>
    <x v="1"/>
    <x v="2"/>
    <x v="1"/>
    <x v="1"/>
    <x v="1"/>
    <s v="Yes"/>
    <n v="20"/>
    <n v="15"/>
    <x v="7"/>
  </r>
  <r>
    <n v="3311"/>
    <s v="Tiago Martins"/>
    <x v="1"/>
    <d v="2024-05-16T00:00:00"/>
    <x v="0"/>
    <x v="1"/>
    <x v="0"/>
    <x v="1"/>
    <x v="1"/>
    <s v="No"/>
    <n v="0"/>
    <n v="1"/>
    <x v="4"/>
  </r>
  <r>
    <n v="3312"/>
    <s v="Ulysses Guimarães"/>
    <x v="0"/>
    <d v="2024-05-17T00:00:00"/>
    <x v="1"/>
    <x v="0"/>
    <x v="2"/>
    <x v="0"/>
    <x v="0"/>
    <s v="Yes"/>
    <n v="20"/>
    <n v="7"/>
    <x v="12"/>
  </r>
  <r>
    <n v="3313"/>
    <s v="Vanessa Silva"/>
    <x v="2"/>
    <d v="2024-05-18T00:00:00"/>
    <x v="0"/>
    <x v="2"/>
    <x v="0"/>
    <x v="1"/>
    <x v="1"/>
    <s v="Yes"/>
    <n v="20"/>
    <n v="10"/>
    <x v="2"/>
  </r>
  <r>
    <n v="3314"/>
    <s v="William Carneiro"/>
    <x v="1"/>
    <d v="2024-05-19T00:00:00"/>
    <x v="1"/>
    <x v="1"/>
    <x v="1"/>
    <x v="1"/>
    <x v="1"/>
    <s v="No"/>
    <n v="0"/>
    <n v="0"/>
    <x v="1"/>
  </r>
  <r>
    <n v="3315"/>
    <s v="Ximena Rocha"/>
    <x v="0"/>
    <d v="2024-05-20T00:00:00"/>
    <x v="0"/>
    <x v="0"/>
    <x v="0"/>
    <x v="0"/>
    <x v="0"/>
    <s v="Yes"/>
    <n v="20"/>
    <n v="20"/>
    <x v="8"/>
  </r>
  <r>
    <n v="3316"/>
    <s v="Yasmin Figueiredo"/>
    <x v="2"/>
    <d v="2024-05-21T00:00:00"/>
    <x v="1"/>
    <x v="2"/>
    <x v="2"/>
    <x v="1"/>
    <x v="1"/>
    <s v="Yes"/>
    <n v="20"/>
    <n v="15"/>
    <x v="7"/>
  </r>
  <r>
    <n v="3317"/>
    <s v="Zara Cunha"/>
    <x v="1"/>
    <d v="2024-05-22T00:00:00"/>
    <x v="0"/>
    <x v="1"/>
    <x v="0"/>
    <x v="1"/>
    <x v="1"/>
    <s v="No"/>
    <n v="0"/>
    <n v="1"/>
    <x v="4"/>
  </r>
  <r>
    <n v="3318"/>
    <s v="Alan Teixeira"/>
    <x v="0"/>
    <d v="2024-05-23T00:00:00"/>
    <x v="1"/>
    <x v="0"/>
    <x v="1"/>
    <x v="0"/>
    <x v="0"/>
    <s v="Yes"/>
    <n v="20"/>
    <n v="3"/>
    <x v="3"/>
  </r>
  <r>
    <n v="3319"/>
    <s v="Bárbara Oliveira"/>
    <x v="2"/>
    <d v="2024-05-24T00:00:00"/>
    <x v="0"/>
    <x v="2"/>
    <x v="0"/>
    <x v="1"/>
    <x v="1"/>
    <s v="Yes"/>
    <n v="20"/>
    <n v="10"/>
    <x v="2"/>
  </r>
  <r>
    <n v="3320"/>
    <s v="Carlos Junqueira"/>
    <x v="1"/>
    <d v="2024-05-25T00:00:00"/>
    <x v="1"/>
    <x v="1"/>
    <x v="2"/>
    <x v="1"/>
    <x v="1"/>
    <s v="No"/>
    <n v="0"/>
    <n v="0"/>
    <x v="1"/>
  </r>
  <r>
    <n v="3321"/>
    <s v="Daniela Moura"/>
    <x v="0"/>
    <d v="2024-05-26T00:00:00"/>
    <x v="0"/>
    <x v="0"/>
    <x v="0"/>
    <x v="0"/>
    <x v="0"/>
    <s v="Yes"/>
    <n v="20"/>
    <n v="5"/>
    <x v="0"/>
  </r>
  <r>
    <n v="3322"/>
    <s v="Eduardo Lima"/>
    <x v="2"/>
    <d v="2024-05-27T00:00:00"/>
    <x v="1"/>
    <x v="2"/>
    <x v="1"/>
    <x v="1"/>
    <x v="1"/>
    <s v="Yes"/>
    <n v="20"/>
    <n v="15"/>
    <x v="7"/>
  </r>
  <r>
    <n v="3323"/>
    <s v="Fabiana Araújo"/>
    <x v="1"/>
    <d v="2024-05-28T00:00:00"/>
    <x v="0"/>
    <x v="1"/>
    <x v="0"/>
    <x v="1"/>
    <x v="1"/>
    <s v="No"/>
    <n v="0"/>
    <n v="1"/>
    <x v="4"/>
  </r>
  <r>
    <n v="3324"/>
    <s v="Geraldo Ribeiro"/>
    <x v="0"/>
    <d v="2024-05-29T00:00:00"/>
    <x v="1"/>
    <x v="0"/>
    <x v="2"/>
    <x v="0"/>
    <x v="0"/>
    <s v="Yes"/>
    <n v="20"/>
    <n v="20"/>
    <x v="8"/>
  </r>
  <r>
    <n v="3325"/>
    <s v="Héctor Vargas"/>
    <x v="2"/>
    <d v="2024-05-30T00:00:00"/>
    <x v="0"/>
    <x v="2"/>
    <x v="2"/>
    <x v="1"/>
    <x v="1"/>
    <s v="Yes"/>
    <n v="20"/>
    <n v="15"/>
    <x v="7"/>
  </r>
  <r>
    <n v="3326"/>
    <s v="Isabela Fonseca"/>
    <x v="1"/>
    <d v="2024-05-31T00:00:00"/>
    <x v="1"/>
    <x v="1"/>
    <x v="1"/>
    <x v="1"/>
    <x v="1"/>
    <s v="No"/>
    <n v="0"/>
    <n v="0"/>
    <x v="1"/>
  </r>
  <r>
    <n v="3327"/>
    <s v="João Pedro Almeida"/>
    <x v="0"/>
    <d v="2024-06-01T00:00:00"/>
    <x v="0"/>
    <x v="0"/>
    <x v="0"/>
    <x v="0"/>
    <x v="0"/>
    <s v="Yes"/>
    <n v="20"/>
    <n v="7"/>
    <x v="12"/>
  </r>
  <r>
    <n v="3328"/>
    <s v="Klara Costa"/>
    <x v="2"/>
    <d v="2024-06-02T00:00:00"/>
    <x v="1"/>
    <x v="2"/>
    <x v="1"/>
    <x v="1"/>
    <x v="1"/>
    <s v="Yes"/>
    <n v="20"/>
    <n v="10"/>
    <x v="2"/>
  </r>
  <r>
    <n v="3329"/>
    <s v="Luciana Mendes"/>
    <x v="1"/>
    <d v="2024-06-03T00:00:00"/>
    <x v="0"/>
    <x v="1"/>
    <x v="2"/>
    <x v="1"/>
    <x v="1"/>
    <s v="No"/>
    <n v="0"/>
    <n v="1"/>
    <x v="4"/>
  </r>
  <r>
    <n v="3330"/>
    <s v="Marcelo Gouveia"/>
    <x v="0"/>
    <d v="2024-06-04T00:00:00"/>
    <x v="1"/>
    <x v="0"/>
    <x v="0"/>
    <x v="0"/>
    <x v="0"/>
    <s v="Yes"/>
    <n v="20"/>
    <n v="15"/>
    <x v="14"/>
  </r>
  <r>
    <n v="3331"/>
    <s v="Nívea Borges"/>
    <x v="2"/>
    <d v="2024-06-05T00:00:00"/>
    <x v="0"/>
    <x v="2"/>
    <x v="0"/>
    <x v="1"/>
    <x v="1"/>
    <s v="Yes"/>
    <n v="20"/>
    <n v="5"/>
    <x v="13"/>
  </r>
  <r>
    <n v="3332"/>
    <s v="Oscar Nogueira"/>
    <x v="1"/>
    <d v="2024-06-06T00:00:00"/>
    <x v="1"/>
    <x v="1"/>
    <x v="1"/>
    <x v="1"/>
    <x v="1"/>
    <s v="No"/>
    <n v="0"/>
    <n v="0"/>
    <x v="1"/>
  </r>
  <r>
    <n v="3333"/>
    <s v="Patrícia Alves"/>
    <x v="0"/>
    <d v="2024-06-07T00:00:00"/>
    <x v="0"/>
    <x v="0"/>
    <x v="2"/>
    <x v="0"/>
    <x v="0"/>
    <s v="Yes"/>
    <n v="20"/>
    <n v="20"/>
    <x v="8"/>
  </r>
  <r>
    <n v="3334"/>
    <s v="Rafaela Silva"/>
    <x v="2"/>
    <d v="2024-06-08T00:00:00"/>
    <x v="1"/>
    <x v="2"/>
    <x v="2"/>
    <x v="1"/>
    <x v="1"/>
    <s v="Yes"/>
    <n v="20"/>
    <n v="12"/>
    <x v="10"/>
  </r>
  <r>
    <n v="3335"/>
    <s v="Samantha Moraes"/>
    <x v="1"/>
    <d v="2024-06-09T00:00:00"/>
    <x v="0"/>
    <x v="1"/>
    <x v="0"/>
    <x v="1"/>
    <x v="1"/>
    <s v="No"/>
    <n v="0"/>
    <n v="2"/>
    <x v="11"/>
  </r>
  <r>
    <n v="3336"/>
    <s v="Tatiana Rocha"/>
    <x v="1"/>
    <d v="2024-06-10T00:00:00"/>
    <x v="0"/>
    <x v="1"/>
    <x v="0"/>
    <x v="1"/>
    <x v="1"/>
    <s v="No"/>
    <n v="0"/>
    <n v="0"/>
    <x v="1"/>
  </r>
  <r>
    <n v="3337"/>
    <s v="Ulisses Tavares"/>
    <x v="0"/>
    <d v="2024-06-11T00:00:00"/>
    <x v="1"/>
    <x v="0"/>
    <x v="2"/>
    <x v="0"/>
    <x v="0"/>
    <s v="Yes"/>
    <n v="20"/>
    <n v="7"/>
    <x v="12"/>
  </r>
  <r>
    <n v="3338"/>
    <s v="Víctor Lemos"/>
    <x v="2"/>
    <d v="2024-06-12T00:00:00"/>
    <x v="0"/>
    <x v="2"/>
    <x v="1"/>
    <x v="1"/>
    <x v="1"/>
    <s v="Yes"/>
    <n v="20"/>
    <n v="10"/>
    <x v="2"/>
  </r>
  <r>
    <n v="3339"/>
    <s v="Wilma Barros"/>
    <x v="1"/>
    <d v="2024-06-13T00:00:00"/>
    <x v="1"/>
    <x v="1"/>
    <x v="2"/>
    <x v="1"/>
    <x v="1"/>
    <s v="No"/>
    <n v="0"/>
    <n v="1"/>
    <x v="4"/>
  </r>
  <r>
    <n v="3340"/>
    <s v="Xavier Nascimento"/>
    <x v="0"/>
    <d v="2024-06-14T00:00:00"/>
    <x v="0"/>
    <x v="0"/>
    <x v="0"/>
    <x v="0"/>
    <x v="0"/>
    <s v="Yes"/>
    <n v="20"/>
    <n v="15"/>
    <x v="14"/>
  </r>
  <r>
    <n v="3341"/>
    <s v="Yago Pereira"/>
    <x v="2"/>
    <d v="2024-06-15T00:00:00"/>
    <x v="1"/>
    <x v="2"/>
    <x v="0"/>
    <x v="1"/>
    <x v="1"/>
    <s v="Yes"/>
    <n v="20"/>
    <n v="5"/>
    <x v="13"/>
  </r>
  <r>
    <n v="3342"/>
    <s v="Zilda Ferreira"/>
    <x v="1"/>
    <d v="2024-06-16T00:00:00"/>
    <x v="0"/>
    <x v="1"/>
    <x v="1"/>
    <x v="1"/>
    <x v="1"/>
    <s v="No"/>
    <n v="0"/>
    <n v="0"/>
    <x v="1"/>
  </r>
  <r>
    <n v="3343"/>
    <s v="Amanda Lopes"/>
    <x v="0"/>
    <d v="2024-06-17T00:00:00"/>
    <x v="1"/>
    <x v="0"/>
    <x v="2"/>
    <x v="0"/>
    <x v="0"/>
    <s v="Yes"/>
    <n v="20"/>
    <n v="20"/>
    <x v="8"/>
  </r>
  <r>
    <n v="3344"/>
    <s v="Bruno Miranda"/>
    <x v="2"/>
    <d v="2024-06-18T00:00:00"/>
    <x v="0"/>
    <x v="2"/>
    <x v="2"/>
    <x v="1"/>
    <x v="1"/>
    <s v="Yes"/>
    <n v="20"/>
    <n v="12"/>
    <x v="10"/>
  </r>
  <r>
    <n v="3345"/>
    <s v="Célia Torres"/>
    <x v="1"/>
    <d v="2024-06-19T00:00:00"/>
    <x v="1"/>
    <x v="1"/>
    <x v="0"/>
    <x v="1"/>
    <x v="1"/>
    <s v="No"/>
    <n v="0"/>
    <n v="2"/>
    <x v="11"/>
  </r>
  <r>
    <n v="3346"/>
    <s v="Diogo Souza"/>
    <x v="0"/>
    <d v="2024-06-20T00:00:00"/>
    <x v="0"/>
    <x v="0"/>
    <x v="1"/>
    <x v="0"/>
    <x v="0"/>
    <s v="Yes"/>
    <n v="20"/>
    <n v="5"/>
    <x v="0"/>
  </r>
  <r>
    <n v="3347"/>
    <s v="Elisa Castro"/>
    <x v="2"/>
    <d v="2024-06-21T00:00:00"/>
    <x v="1"/>
    <x v="2"/>
    <x v="0"/>
    <x v="1"/>
    <x v="1"/>
    <s v="Yes"/>
    <n v="20"/>
    <n v="10"/>
    <x v="2"/>
  </r>
  <r>
    <n v="3348"/>
    <s v="Fátima Lima"/>
    <x v="1"/>
    <d v="2024-06-22T00:00:00"/>
    <x v="0"/>
    <x v="1"/>
    <x v="2"/>
    <x v="1"/>
    <x v="1"/>
    <s v="No"/>
    <n v="0"/>
    <n v="0"/>
    <x v="1"/>
  </r>
  <r>
    <n v="3349"/>
    <s v="Geraldo Ribeiro"/>
    <x v="0"/>
    <d v="2024-06-23T00:00:00"/>
    <x v="1"/>
    <x v="0"/>
    <x v="0"/>
    <x v="0"/>
    <x v="0"/>
    <s v="Yes"/>
    <n v="20"/>
    <n v="3"/>
    <x v="3"/>
  </r>
  <r>
    <n v="3350"/>
    <s v="Hélio Martins"/>
    <x v="2"/>
    <d v="2024-06-24T00:00:00"/>
    <x v="0"/>
    <x v="2"/>
    <x v="1"/>
    <x v="1"/>
    <x v="1"/>
    <s v="Yes"/>
    <n v="20"/>
    <n v="15"/>
    <x v="7"/>
  </r>
  <r>
    <n v="3351"/>
    <s v="Íris Santos"/>
    <x v="1"/>
    <d v="2024-06-25T00:00:00"/>
    <x v="1"/>
    <x v="1"/>
    <x v="0"/>
    <x v="1"/>
    <x v="1"/>
    <s v="No"/>
    <n v="0"/>
    <n v="1"/>
    <x v="4"/>
  </r>
  <r>
    <n v="3352"/>
    <s v="João Marcelo"/>
    <x v="0"/>
    <d v="2024-06-26T00:00:00"/>
    <x v="0"/>
    <x v="0"/>
    <x v="2"/>
    <x v="0"/>
    <x v="0"/>
    <s v="Yes"/>
    <n v="20"/>
    <n v="7"/>
    <x v="12"/>
  </r>
  <r>
    <n v="3353"/>
    <s v="Larissa Gomes"/>
    <x v="2"/>
    <d v="2024-06-27T00:00:00"/>
    <x v="1"/>
    <x v="2"/>
    <x v="0"/>
    <x v="1"/>
    <x v="1"/>
    <s v="Yes"/>
    <n v="20"/>
    <n v="10"/>
    <x v="2"/>
  </r>
  <r>
    <n v="3354"/>
    <s v="Márcio Silva"/>
    <x v="1"/>
    <d v="2024-06-28T00:00:00"/>
    <x v="0"/>
    <x v="1"/>
    <x v="1"/>
    <x v="1"/>
    <x v="1"/>
    <s v="No"/>
    <n v="0"/>
    <n v="0"/>
    <x v="1"/>
  </r>
  <r>
    <n v="3355"/>
    <s v="Nadia Costa"/>
    <x v="0"/>
    <d v="2024-06-29T00:00:00"/>
    <x v="1"/>
    <x v="0"/>
    <x v="0"/>
    <x v="0"/>
    <x v="0"/>
    <s v="Yes"/>
    <n v="20"/>
    <n v="20"/>
    <x v="8"/>
  </r>
  <r>
    <n v="3356"/>
    <s v="Oscar Almeida"/>
    <x v="2"/>
    <d v="2024-06-30T00:00:00"/>
    <x v="0"/>
    <x v="2"/>
    <x v="2"/>
    <x v="1"/>
    <x v="1"/>
    <s v="Yes"/>
    <n v="20"/>
    <n v="15"/>
    <x v="7"/>
  </r>
  <r>
    <n v="3357"/>
    <s v="Patricia Soares"/>
    <x v="1"/>
    <d v="2024-07-01T00:00:00"/>
    <x v="1"/>
    <x v="1"/>
    <x v="0"/>
    <x v="1"/>
    <x v="1"/>
    <s v="No"/>
    <n v="0"/>
    <n v="1"/>
    <x v="4"/>
  </r>
  <r>
    <n v="3358"/>
    <s v="Quênia Barros"/>
    <x v="0"/>
    <d v="2024-07-02T00:00:00"/>
    <x v="0"/>
    <x v="0"/>
    <x v="1"/>
    <x v="0"/>
    <x v="0"/>
    <s v="Yes"/>
    <n v="20"/>
    <n v="3"/>
    <x v="3"/>
  </r>
  <r>
    <n v="3359"/>
    <s v="Rafael Torres"/>
    <x v="2"/>
    <d v="2024-07-03T00:00:00"/>
    <x v="1"/>
    <x v="2"/>
    <x v="0"/>
    <x v="1"/>
    <x v="1"/>
    <s v="Yes"/>
    <n v="20"/>
    <n v="10"/>
    <x v="2"/>
  </r>
  <r>
    <n v="3360"/>
    <s v="Silvia Nascimento"/>
    <x v="1"/>
    <d v="2024-07-04T00:00:00"/>
    <x v="0"/>
    <x v="1"/>
    <x v="2"/>
    <x v="1"/>
    <x v="1"/>
    <s v="No"/>
    <n v="0"/>
    <n v="0"/>
    <x v="1"/>
  </r>
  <r>
    <n v="3361"/>
    <s v="Tiago Mendes"/>
    <x v="0"/>
    <d v="2024-07-05T00:00:00"/>
    <x v="1"/>
    <x v="0"/>
    <x v="0"/>
    <x v="0"/>
    <x v="0"/>
    <s v="Yes"/>
    <n v="20"/>
    <n v="15"/>
    <x v="14"/>
  </r>
  <r>
    <n v="3362"/>
    <s v="Ursula Silva"/>
    <x v="2"/>
    <d v="2024-07-06T00:00:00"/>
    <x v="0"/>
    <x v="2"/>
    <x v="1"/>
    <x v="1"/>
    <x v="1"/>
    <s v="Yes"/>
    <n v="20"/>
    <n v="15"/>
    <x v="7"/>
  </r>
  <r>
    <n v="3363"/>
    <s v="Vanessa Moraes"/>
    <x v="1"/>
    <d v="2024-07-07T00:00:00"/>
    <x v="1"/>
    <x v="1"/>
    <x v="0"/>
    <x v="1"/>
    <x v="1"/>
    <s v="No"/>
    <n v="0"/>
    <n v="1"/>
    <x v="4"/>
  </r>
  <r>
    <n v="3364"/>
    <s v="Waldir Junior"/>
    <x v="0"/>
    <d v="2024-07-08T00:00:00"/>
    <x v="0"/>
    <x v="0"/>
    <x v="2"/>
    <x v="0"/>
    <x v="0"/>
    <s v="Yes"/>
    <n v="20"/>
    <n v="7"/>
    <x v="12"/>
  </r>
  <r>
    <n v="3365"/>
    <s v="Xavier Lopes"/>
    <x v="2"/>
    <d v="2024-07-09T00:00:00"/>
    <x v="1"/>
    <x v="2"/>
    <x v="0"/>
    <x v="1"/>
    <x v="1"/>
    <s v="Yes"/>
    <n v="20"/>
    <n v="10"/>
    <x v="2"/>
  </r>
  <r>
    <n v="3366"/>
    <s v="Yolanda Freitas"/>
    <x v="1"/>
    <d v="2024-07-10T00:00:00"/>
    <x v="0"/>
    <x v="1"/>
    <x v="0"/>
    <x v="1"/>
    <x v="1"/>
    <s v="No"/>
    <n v="0"/>
    <n v="0"/>
    <x v="1"/>
  </r>
  <r>
    <n v="3367"/>
    <s v="Zacarias Nunes"/>
    <x v="0"/>
    <d v="2024-07-11T00:00:00"/>
    <x v="1"/>
    <x v="0"/>
    <x v="2"/>
    <x v="0"/>
    <x v="0"/>
    <s v="Yes"/>
    <n v="20"/>
    <n v="7"/>
    <x v="12"/>
  </r>
  <r>
    <n v="3368"/>
    <s v="Ana Clara Barreto"/>
    <x v="2"/>
    <d v="2024-07-12T00:00:00"/>
    <x v="0"/>
    <x v="2"/>
    <x v="1"/>
    <x v="1"/>
    <x v="1"/>
    <s v="Yes"/>
    <n v="20"/>
    <n v="10"/>
    <x v="2"/>
  </r>
  <r>
    <n v="3369"/>
    <s v="Bruno Henrique"/>
    <x v="1"/>
    <d v="2024-07-13T00:00:00"/>
    <x v="1"/>
    <x v="1"/>
    <x v="2"/>
    <x v="1"/>
    <x v="1"/>
    <s v="No"/>
    <n v="0"/>
    <n v="1"/>
    <x v="4"/>
  </r>
  <r>
    <n v="3370"/>
    <s v="Carlos Eduardo"/>
    <x v="0"/>
    <d v="2024-07-14T00:00:00"/>
    <x v="0"/>
    <x v="0"/>
    <x v="0"/>
    <x v="0"/>
    <x v="0"/>
    <s v="Yes"/>
    <n v="20"/>
    <n v="15"/>
    <x v="14"/>
  </r>
  <r>
    <n v="3371"/>
    <s v="Débora Lima"/>
    <x v="2"/>
    <d v="2024-07-15T00:00:00"/>
    <x v="1"/>
    <x v="2"/>
    <x v="0"/>
    <x v="1"/>
    <x v="1"/>
    <s v="Yes"/>
    <n v="20"/>
    <n v="5"/>
    <x v="13"/>
  </r>
  <r>
    <n v="3372"/>
    <s v="Elisa Neves"/>
    <x v="1"/>
    <d v="2024-07-16T00:00:00"/>
    <x v="0"/>
    <x v="1"/>
    <x v="1"/>
    <x v="1"/>
    <x v="1"/>
    <s v="No"/>
    <n v="0"/>
    <n v="0"/>
    <x v="1"/>
  </r>
  <r>
    <n v="3373"/>
    <s v="Fabiano Gomes"/>
    <x v="0"/>
    <d v="2024-07-17T00:00:00"/>
    <x v="1"/>
    <x v="0"/>
    <x v="2"/>
    <x v="0"/>
    <x v="0"/>
    <s v="Yes"/>
    <n v="20"/>
    <n v="20"/>
    <x v="8"/>
  </r>
  <r>
    <n v="3374"/>
    <s v="Gisele Oliveira"/>
    <x v="2"/>
    <d v="2024-07-18T00:00:00"/>
    <x v="0"/>
    <x v="2"/>
    <x v="2"/>
    <x v="1"/>
    <x v="1"/>
    <s v="Yes"/>
    <n v="20"/>
    <n v="12"/>
    <x v="10"/>
  </r>
  <r>
    <n v="3375"/>
    <s v="Héctor Silva"/>
    <x v="1"/>
    <d v="2024-07-19T00:00:00"/>
    <x v="1"/>
    <x v="1"/>
    <x v="0"/>
    <x v="1"/>
    <x v="1"/>
    <s v="No"/>
    <n v="0"/>
    <n v="2"/>
    <x v="11"/>
  </r>
  <r>
    <n v="3376"/>
    <s v="Igor Martins"/>
    <x v="0"/>
    <d v="2024-07-20T00:00:00"/>
    <x v="0"/>
    <x v="0"/>
    <x v="1"/>
    <x v="0"/>
    <x v="0"/>
    <s v="Yes"/>
    <n v="20"/>
    <n v="5"/>
    <x v="0"/>
  </r>
  <r>
    <n v="3377"/>
    <s v="Joana Figueiredo"/>
    <x v="2"/>
    <d v="2024-07-21T00:00:00"/>
    <x v="1"/>
    <x v="2"/>
    <x v="0"/>
    <x v="1"/>
    <x v="1"/>
    <s v="Yes"/>
    <n v="20"/>
    <n v="10"/>
    <x v="2"/>
  </r>
  <r>
    <n v="3378"/>
    <s v="Kleber Machado"/>
    <x v="1"/>
    <d v="2024-07-22T00:00:00"/>
    <x v="0"/>
    <x v="1"/>
    <x v="2"/>
    <x v="1"/>
    <x v="1"/>
    <s v="No"/>
    <n v="0"/>
    <n v="0"/>
    <x v="1"/>
  </r>
  <r>
    <n v="3379"/>
    <s v="Luciana Santos"/>
    <x v="0"/>
    <d v="2024-07-23T00:00:00"/>
    <x v="1"/>
    <x v="0"/>
    <x v="0"/>
    <x v="0"/>
    <x v="0"/>
    <s v="Yes"/>
    <n v="20"/>
    <n v="3"/>
    <x v="3"/>
  </r>
  <r>
    <n v="3380"/>
    <s v="Marcos Teixeira"/>
    <x v="2"/>
    <d v="2024-07-24T00:00:00"/>
    <x v="0"/>
    <x v="2"/>
    <x v="1"/>
    <x v="1"/>
    <x v="1"/>
    <s v="Yes"/>
    <n v="20"/>
    <n v="15"/>
    <x v="7"/>
  </r>
  <r>
    <n v="3381"/>
    <s v="Natalia Costa"/>
    <x v="1"/>
    <d v="2024-07-25T00:00:00"/>
    <x v="1"/>
    <x v="1"/>
    <x v="0"/>
    <x v="1"/>
    <x v="1"/>
    <s v="No"/>
    <n v="0"/>
    <n v="1"/>
    <x v="4"/>
  </r>
  <r>
    <n v="3382"/>
    <s v="Oscar Ribeiro"/>
    <x v="0"/>
    <d v="2024-07-26T00:00:00"/>
    <x v="0"/>
    <x v="0"/>
    <x v="2"/>
    <x v="0"/>
    <x v="0"/>
    <s v="Yes"/>
    <n v="20"/>
    <n v="7"/>
    <x v="12"/>
  </r>
  <r>
    <n v="3383"/>
    <s v="Patricia Almeida"/>
    <x v="2"/>
    <d v="2024-07-27T00:00:00"/>
    <x v="1"/>
    <x v="2"/>
    <x v="0"/>
    <x v="1"/>
    <x v="1"/>
    <s v="Yes"/>
    <n v="20"/>
    <n v="10"/>
    <x v="2"/>
  </r>
  <r>
    <n v="3384"/>
    <s v="Quirino Junior"/>
    <x v="1"/>
    <d v="2024-07-28T00:00:00"/>
    <x v="0"/>
    <x v="1"/>
    <x v="1"/>
    <x v="1"/>
    <x v="1"/>
    <s v="No"/>
    <n v="0"/>
    <n v="0"/>
    <x v="1"/>
  </r>
  <r>
    <n v="3385"/>
    <s v="Renata Machado"/>
    <x v="0"/>
    <d v="2024-07-29T00:00:00"/>
    <x v="1"/>
    <x v="0"/>
    <x v="0"/>
    <x v="0"/>
    <x v="0"/>
    <s v="Yes"/>
    <n v="20"/>
    <n v="20"/>
    <x v="8"/>
  </r>
  <r>
    <n v="3386"/>
    <s v="Sônia Alves"/>
    <x v="2"/>
    <d v="2024-07-30T00:00:00"/>
    <x v="0"/>
    <x v="2"/>
    <x v="2"/>
    <x v="1"/>
    <x v="1"/>
    <s v="Yes"/>
    <n v="20"/>
    <n v="15"/>
    <x v="7"/>
  </r>
  <r>
    <n v="3387"/>
    <s v="Tiago Nunes"/>
    <x v="1"/>
    <d v="2024-07-31T00:00:00"/>
    <x v="1"/>
    <x v="1"/>
    <x v="0"/>
    <x v="1"/>
    <x v="1"/>
    <s v="No"/>
    <n v="0"/>
    <n v="1"/>
    <x v="4"/>
  </r>
  <r>
    <n v="3388"/>
    <s v="Ulysses Pereira"/>
    <x v="0"/>
    <d v="2024-08-01T00:00:00"/>
    <x v="0"/>
    <x v="0"/>
    <x v="1"/>
    <x v="0"/>
    <x v="0"/>
    <s v="Yes"/>
    <n v="20"/>
    <n v="3"/>
    <x v="3"/>
  </r>
  <r>
    <n v="3389"/>
    <s v="Vanessa Lima"/>
    <x v="2"/>
    <d v="2024-08-02T00:00:00"/>
    <x v="1"/>
    <x v="2"/>
    <x v="0"/>
    <x v="1"/>
    <x v="1"/>
    <s v="Yes"/>
    <n v="20"/>
    <n v="10"/>
    <x v="2"/>
  </r>
  <r>
    <n v="3390"/>
    <s v="Wagner Santos"/>
    <x v="1"/>
    <d v="2024-08-03T00:00:00"/>
    <x v="0"/>
    <x v="1"/>
    <x v="2"/>
    <x v="1"/>
    <x v="1"/>
    <s v="No"/>
    <n v="0"/>
    <n v="0"/>
    <x v="1"/>
  </r>
  <r>
    <n v="3391"/>
    <s v="Xuxa Meneghel"/>
    <x v="0"/>
    <d v="2024-08-04T00:00:00"/>
    <x v="1"/>
    <x v="0"/>
    <x v="0"/>
    <x v="0"/>
    <x v="0"/>
    <s v="Yes"/>
    <n v="20"/>
    <n v="15"/>
    <x v="14"/>
  </r>
  <r>
    <n v="3392"/>
    <s v="Yasmin Silva"/>
    <x v="2"/>
    <d v="2024-08-05T00:00:00"/>
    <x v="0"/>
    <x v="2"/>
    <x v="1"/>
    <x v="1"/>
    <x v="1"/>
    <s v="Yes"/>
    <n v="20"/>
    <n v="15"/>
    <x v="7"/>
  </r>
  <r>
    <n v="3393"/>
    <s v="Zacarias de Souza"/>
    <x v="1"/>
    <d v="2024-08-06T00:00:00"/>
    <x v="1"/>
    <x v="1"/>
    <x v="0"/>
    <x v="1"/>
    <x v="1"/>
    <s v="No"/>
    <n v="0"/>
    <n v="1"/>
    <x v="4"/>
  </r>
  <r>
    <n v="3394"/>
    <s v="André Lima"/>
    <x v="0"/>
    <d v="2024-08-07T00:00:00"/>
    <x v="0"/>
    <x v="0"/>
    <x v="2"/>
    <x v="0"/>
    <x v="0"/>
    <s v="Yes"/>
    <n v="20"/>
    <n v="7"/>
    <x v="12"/>
  </r>
  <r>
    <n v="3395"/>
    <s v="Bianca Freitas"/>
    <x v="2"/>
    <d v="2024-08-08T00:00:00"/>
    <x v="1"/>
    <x v="2"/>
    <x v="0"/>
    <x v="1"/>
    <x v="1"/>
    <s v="Yes"/>
    <n v="20"/>
    <n v="10"/>
    <x v="2"/>
  </r>
  <r>
    <n v="3396"/>
    <s v="Caio Mendes"/>
    <x v="1"/>
    <d v="2024-08-09T00:00:00"/>
    <x v="0"/>
    <x v="1"/>
    <x v="1"/>
    <x v="1"/>
    <x v="1"/>
    <s v="No"/>
    <n v="0"/>
    <n v="0"/>
    <x v="1"/>
  </r>
  <r>
    <n v="3397"/>
    <s v="Daniela Moura"/>
    <x v="0"/>
    <d v="2024-08-10T00:00:00"/>
    <x v="1"/>
    <x v="0"/>
    <x v="0"/>
    <x v="0"/>
    <x v="0"/>
    <s v="Yes"/>
    <n v="20"/>
    <n v="20"/>
    <x v="8"/>
  </r>
  <r>
    <n v="3398"/>
    <s v="Eduardo Costa"/>
    <x v="2"/>
    <d v="2024-08-11T00:00:00"/>
    <x v="0"/>
    <x v="2"/>
    <x v="2"/>
    <x v="1"/>
    <x v="1"/>
    <s v="Yes"/>
    <n v="20"/>
    <n v="15"/>
    <x v="7"/>
  </r>
  <r>
    <n v="3399"/>
    <s v="Fernanda Gomes"/>
    <x v="1"/>
    <d v="2024-08-12T00:00:00"/>
    <x v="1"/>
    <x v="1"/>
    <x v="0"/>
    <x v="1"/>
    <x v="1"/>
    <s v="No"/>
    <n v="0"/>
    <n v="1"/>
    <x v="4"/>
  </r>
  <r>
    <n v="3400"/>
    <s v="Guilherme Souza"/>
    <x v="0"/>
    <d v="2024-08-13T00:00:00"/>
    <x v="0"/>
    <x v="0"/>
    <x v="1"/>
    <x v="0"/>
    <x v="0"/>
    <s v="Yes"/>
    <n v="20"/>
    <n v="5"/>
    <x v="0"/>
  </r>
  <r>
    <n v="3401"/>
    <s v="Helena Ribeiro"/>
    <x v="2"/>
    <d v="2024-08-14T00:00:00"/>
    <x v="1"/>
    <x v="2"/>
    <x v="0"/>
    <x v="1"/>
    <x v="1"/>
    <s v="Yes"/>
    <n v="20"/>
    <n v="10"/>
    <x v="2"/>
  </r>
  <r>
    <n v="3402"/>
    <s v="Igor Santos"/>
    <x v="1"/>
    <d v="2024-08-15T00:00:00"/>
    <x v="0"/>
    <x v="1"/>
    <x v="2"/>
    <x v="1"/>
    <x v="1"/>
    <s v="No"/>
    <n v="0"/>
    <n v="0"/>
    <x v="1"/>
  </r>
  <r>
    <n v="3403"/>
    <s v="João Carvalho"/>
    <x v="0"/>
    <d v="2024-08-16T00:00:00"/>
    <x v="1"/>
    <x v="0"/>
    <x v="0"/>
    <x v="0"/>
    <x v="0"/>
    <s v="Yes"/>
    <n v="20"/>
    <n v="3"/>
    <x v="3"/>
  </r>
  <r>
    <n v="3404"/>
    <s v="Klara Fagundes"/>
    <x v="2"/>
    <d v="2024-08-17T00:00:00"/>
    <x v="0"/>
    <x v="2"/>
    <x v="1"/>
    <x v="1"/>
    <x v="1"/>
    <s v="Yes"/>
    <n v="20"/>
    <n v="15"/>
    <x v="7"/>
  </r>
  <r>
    <n v="3405"/>
    <s v="Lúcia Mendonça"/>
    <x v="1"/>
    <d v="2024-08-18T00:00:00"/>
    <x v="1"/>
    <x v="1"/>
    <x v="0"/>
    <x v="1"/>
    <x v="1"/>
    <s v="No"/>
    <n v="0"/>
    <n v="1"/>
    <x v="4"/>
  </r>
  <r>
    <n v="3406"/>
    <s v="Marcelo Novaes"/>
    <x v="1"/>
    <d v="2024-08-19T00:00:00"/>
    <x v="0"/>
    <x v="1"/>
    <x v="0"/>
    <x v="1"/>
    <x v="1"/>
    <s v="No"/>
    <n v="0"/>
    <n v="0"/>
    <x v="1"/>
  </r>
  <r>
    <n v="3407"/>
    <s v="Nina Pacheco"/>
    <x v="0"/>
    <d v="2024-08-20T00:00:00"/>
    <x v="1"/>
    <x v="0"/>
    <x v="2"/>
    <x v="0"/>
    <x v="0"/>
    <s v="Yes"/>
    <n v="20"/>
    <n v="7"/>
    <x v="12"/>
  </r>
  <r>
    <n v="3408"/>
    <s v="Olívia Rios"/>
    <x v="2"/>
    <d v="2024-08-21T00:00:00"/>
    <x v="0"/>
    <x v="2"/>
    <x v="1"/>
    <x v="1"/>
    <x v="1"/>
    <s v="Yes"/>
    <n v="20"/>
    <n v="10"/>
    <x v="2"/>
  </r>
  <r>
    <n v="3409"/>
    <s v="Paulo Quintana"/>
    <x v="1"/>
    <d v="2024-08-22T00:00:00"/>
    <x v="1"/>
    <x v="1"/>
    <x v="2"/>
    <x v="1"/>
    <x v="1"/>
    <s v="No"/>
    <n v="0"/>
    <n v="1"/>
    <x v="4"/>
  </r>
  <r>
    <n v="3410"/>
    <s v="Raquel Domingos"/>
    <x v="0"/>
    <d v="2024-08-23T00:00:00"/>
    <x v="0"/>
    <x v="0"/>
    <x v="0"/>
    <x v="0"/>
    <x v="0"/>
    <s v="Yes"/>
    <n v="20"/>
    <n v="15"/>
    <x v="14"/>
  </r>
  <r>
    <n v="3411"/>
    <s v="Samuel Viana"/>
    <x v="2"/>
    <d v="2024-08-24T00:00:00"/>
    <x v="1"/>
    <x v="2"/>
    <x v="0"/>
    <x v="1"/>
    <x v="1"/>
    <s v="Yes"/>
    <n v="20"/>
    <n v="5"/>
    <x v="13"/>
  </r>
  <r>
    <n v="3412"/>
    <s v="Tatiane Rocha"/>
    <x v="1"/>
    <d v="2024-08-25T00:00:00"/>
    <x v="0"/>
    <x v="1"/>
    <x v="1"/>
    <x v="1"/>
    <x v="1"/>
    <s v="No"/>
    <n v="0"/>
    <n v="0"/>
    <x v="1"/>
  </r>
  <r>
    <n v="3413"/>
    <s v="Ulysses Farias"/>
    <x v="0"/>
    <d v="2024-08-26T00:00:00"/>
    <x v="1"/>
    <x v="0"/>
    <x v="2"/>
    <x v="0"/>
    <x v="0"/>
    <s v="Yes"/>
    <n v="20"/>
    <n v="20"/>
    <x v="8"/>
  </r>
  <r>
    <n v="3414"/>
    <s v="Vanessa Moreira"/>
    <x v="2"/>
    <d v="2024-08-27T00:00:00"/>
    <x v="0"/>
    <x v="2"/>
    <x v="2"/>
    <x v="1"/>
    <x v="1"/>
    <s v="Yes"/>
    <n v="20"/>
    <n v="12"/>
    <x v="10"/>
  </r>
  <r>
    <n v="3415"/>
    <s v="William Carvalho"/>
    <x v="1"/>
    <d v="2024-08-28T00:00:00"/>
    <x v="1"/>
    <x v="1"/>
    <x v="0"/>
    <x v="1"/>
    <x v="1"/>
    <s v="No"/>
    <n v="0"/>
    <n v="2"/>
    <x v="11"/>
  </r>
  <r>
    <n v="3416"/>
    <s v="Ximena Barros"/>
    <x v="0"/>
    <d v="2024-08-29T00:00:00"/>
    <x v="0"/>
    <x v="0"/>
    <x v="1"/>
    <x v="0"/>
    <x v="0"/>
    <s v="Yes"/>
    <n v="20"/>
    <n v="5"/>
    <x v="0"/>
  </r>
  <r>
    <n v="3417"/>
    <s v="Yara Machado"/>
    <x v="2"/>
    <d v="2024-08-30T00:00:00"/>
    <x v="1"/>
    <x v="2"/>
    <x v="0"/>
    <x v="1"/>
    <x v="1"/>
    <s v="Yes"/>
    <n v="20"/>
    <n v="10"/>
    <x v="2"/>
  </r>
  <r>
    <n v="3418"/>
    <s v="Zacarias Costa"/>
    <x v="1"/>
    <d v="2024-08-31T00:00:00"/>
    <x v="0"/>
    <x v="1"/>
    <x v="2"/>
    <x v="1"/>
    <x v="1"/>
    <s v="No"/>
    <n v="0"/>
    <n v="0"/>
    <x v="1"/>
  </r>
  <r>
    <n v="3419"/>
    <s v="André Lopes"/>
    <x v="0"/>
    <d v="2024-09-01T00:00:00"/>
    <x v="1"/>
    <x v="0"/>
    <x v="0"/>
    <x v="0"/>
    <x v="0"/>
    <s v="Yes"/>
    <n v="20"/>
    <n v="3"/>
    <x v="3"/>
  </r>
  <r>
    <n v="3420"/>
    <s v="Beatriz Souza"/>
    <x v="2"/>
    <d v="2024-09-02T00:00:00"/>
    <x v="0"/>
    <x v="2"/>
    <x v="1"/>
    <x v="1"/>
    <x v="1"/>
    <s v="Yes"/>
    <n v="20"/>
    <n v="15"/>
    <x v="7"/>
  </r>
  <r>
    <n v="3421"/>
    <s v="Caio Pereira"/>
    <x v="1"/>
    <d v="2024-09-03T00:00:00"/>
    <x v="1"/>
    <x v="1"/>
    <x v="0"/>
    <x v="1"/>
    <x v="1"/>
    <s v="No"/>
    <n v="0"/>
    <n v="1"/>
    <x v="4"/>
  </r>
  <r>
    <n v="3422"/>
    <s v="Daniela Araújo"/>
    <x v="0"/>
    <d v="2024-09-04T00:00:00"/>
    <x v="0"/>
    <x v="0"/>
    <x v="2"/>
    <x v="0"/>
    <x v="0"/>
    <s v="Yes"/>
    <n v="20"/>
    <n v="7"/>
    <x v="12"/>
  </r>
  <r>
    <n v="3423"/>
    <s v="Eduardo Santos"/>
    <x v="2"/>
    <d v="2024-09-05T00:00:00"/>
    <x v="1"/>
    <x v="2"/>
    <x v="0"/>
    <x v="1"/>
    <x v="1"/>
    <s v="Yes"/>
    <n v="20"/>
    <n v="10"/>
    <x v="2"/>
  </r>
  <r>
    <n v="3424"/>
    <s v="Fernanda Lima"/>
    <x v="1"/>
    <d v="2024-09-06T00:00:00"/>
    <x v="0"/>
    <x v="1"/>
    <x v="1"/>
    <x v="1"/>
    <x v="1"/>
    <s v="No"/>
    <n v="0"/>
    <n v="0"/>
    <x v="1"/>
  </r>
  <r>
    <n v="3425"/>
    <s v="Gabriel Teixeira"/>
    <x v="0"/>
    <d v="2024-09-07T00:00:00"/>
    <x v="1"/>
    <x v="0"/>
    <x v="0"/>
    <x v="0"/>
    <x v="0"/>
    <s v="Yes"/>
    <n v="20"/>
    <n v="20"/>
    <x v="8"/>
  </r>
  <r>
    <n v="3426"/>
    <s v="Helena Ribeiro"/>
    <x v="2"/>
    <d v="2024-09-08T00:00:00"/>
    <x v="0"/>
    <x v="2"/>
    <x v="2"/>
    <x v="1"/>
    <x v="1"/>
    <s v="Yes"/>
    <n v="20"/>
    <n v="15"/>
    <x v="7"/>
  </r>
  <r>
    <n v="3427"/>
    <s v="Igor Mendes"/>
    <x v="1"/>
    <d v="2024-09-09T00:00:00"/>
    <x v="1"/>
    <x v="1"/>
    <x v="0"/>
    <x v="1"/>
    <x v="1"/>
    <s v="No"/>
    <n v="0"/>
    <n v="1"/>
    <x v="4"/>
  </r>
  <r>
    <n v="3428"/>
    <s v="Joana Silveira"/>
    <x v="0"/>
    <d v="2024-09-10T00:00:00"/>
    <x v="0"/>
    <x v="0"/>
    <x v="1"/>
    <x v="0"/>
    <x v="0"/>
    <s v="Yes"/>
    <n v="20"/>
    <n v="3"/>
    <x v="3"/>
  </r>
  <r>
    <n v="3429"/>
    <s v="Lucas Martins"/>
    <x v="2"/>
    <d v="2024-09-11T00:00:00"/>
    <x v="1"/>
    <x v="2"/>
    <x v="0"/>
    <x v="1"/>
    <x v="1"/>
    <s v="Yes"/>
    <n v="20"/>
    <n v="10"/>
    <x v="2"/>
  </r>
  <r>
    <n v="3430"/>
    <s v="Marcela Gouveia"/>
    <x v="1"/>
    <d v="2024-09-12T00:00:00"/>
    <x v="0"/>
    <x v="1"/>
    <x v="2"/>
    <x v="1"/>
    <x v="1"/>
    <s v="No"/>
    <n v="0"/>
    <n v="0"/>
    <x v="1"/>
  </r>
  <r>
    <n v="3431"/>
    <s v="Nicolas Borges"/>
    <x v="0"/>
    <d v="2024-09-13T00:00:00"/>
    <x v="1"/>
    <x v="0"/>
    <x v="0"/>
    <x v="0"/>
    <x v="0"/>
    <s v="Yes"/>
    <n v="20"/>
    <n v="15"/>
    <x v="14"/>
  </r>
  <r>
    <n v="3432"/>
    <s v="Olivia Freitas"/>
    <x v="2"/>
    <d v="2024-09-14T00:00:00"/>
    <x v="0"/>
    <x v="2"/>
    <x v="1"/>
    <x v="1"/>
    <x v="1"/>
    <s v="Yes"/>
    <n v="20"/>
    <n v="15"/>
    <x v="7"/>
  </r>
  <r>
    <n v="3433"/>
    <s v="Paulo Nogueira"/>
    <x v="1"/>
    <d v="2024-09-15T00:00:00"/>
    <x v="1"/>
    <x v="1"/>
    <x v="0"/>
    <x v="1"/>
    <x v="1"/>
    <s v="No"/>
    <n v="0"/>
    <n v="1"/>
    <x v="4"/>
  </r>
  <r>
    <n v="3434"/>
    <s v="Raquel Andrade"/>
    <x v="0"/>
    <d v="2024-09-16T00:00:00"/>
    <x v="0"/>
    <x v="0"/>
    <x v="2"/>
    <x v="0"/>
    <x v="0"/>
    <s v="Yes"/>
    <n v="20"/>
    <n v="7"/>
    <x v="12"/>
  </r>
  <r>
    <n v="3435"/>
    <s v="Sônia Carvalho"/>
    <x v="2"/>
    <d v="2024-09-17T00:00:00"/>
    <x v="1"/>
    <x v="2"/>
    <x v="0"/>
    <x v="1"/>
    <x v="1"/>
    <s v="Yes"/>
    <n v="20"/>
    <n v="10"/>
    <x v="2"/>
  </r>
  <r>
    <n v="3436"/>
    <s v="Tiago Rodrigues"/>
    <x v="1"/>
    <d v="2024-09-18T00:00:00"/>
    <x v="0"/>
    <x v="1"/>
    <x v="0"/>
    <x v="1"/>
    <x v="1"/>
    <s v="No"/>
    <n v="0"/>
    <n v="0"/>
    <x v="1"/>
  </r>
  <r>
    <n v="3437"/>
    <s v="Ursula Monteiro"/>
    <x v="0"/>
    <d v="2024-09-19T00:00:00"/>
    <x v="1"/>
    <x v="0"/>
    <x v="2"/>
    <x v="0"/>
    <x v="0"/>
    <s v="Yes"/>
    <n v="20"/>
    <n v="7"/>
    <x v="12"/>
  </r>
  <r>
    <n v="3438"/>
    <s v="Vanessa Pereira"/>
    <x v="2"/>
    <d v="2024-09-20T00:00:00"/>
    <x v="0"/>
    <x v="2"/>
    <x v="1"/>
    <x v="1"/>
    <x v="1"/>
    <s v="Yes"/>
    <n v="20"/>
    <n v="10"/>
    <x v="2"/>
  </r>
  <r>
    <n v="3439"/>
    <s v="Walter Silva"/>
    <x v="1"/>
    <d v="2024-09-21T00:00:00"/>
    <x v="1"/>
    <x v="1"/>
    <x v="2"/>
    <x v="1"/>
    <x v="1"/>
    <s v="No"/>
    <n v="0"/>
    <n v="1"/>
    <x v="4"/>
  </r>
  <r>
    <n v="3440"/>
    <s v="Xavier Almeida"/>
    <x v="0"/>
    <d v="2024-09-22T00:00:00"/>
    <x v="0"/>
    <x v="0"/>
    <x v="0"/>
    <x v="0"/>
    <x v="0"/>
    <s v="Yes"/>
    <n v="20"/>
    <n v="15"/>
    <x v="14"/>
  </r>
  <r>
    <n v="3441"/>
    <s v="Yasmine Correia"/>
    <x v="2"/>
    <d v="2024-09-23T00:00:00"/>
    <x v="1"/>
    <x v="2"/>
    <x v="0"/>
    <x v="1"/>
    <x v="1"/>
    <s v="Yes"/>
    <n v="20"/>
    <n v="5"/>
    <x v="13"/>
  </r>
  <r>
    <n v="3442"/>
    <s v="Zacarias Almeida"/>
    <x v="1"/>
    <d v="2024-09-24T00:00:00"/>
    <x v="0"/>
    <x v="1"/>
    <x v="1"/>
    <x v="1"/>
    <x v="1"/>
    <s v="No"/>
    <n v="0"/>
    <n v="0"/>
    <x v="1"/>
  </r>
  <r>
    <n v="3443"/>
    <s v="Amanda Costa"/>
    <x v="0"/>
    <d v="2024-09-25T00:00:00"/>
    <x v="1"/>
    <x v="0"/>
    <x v="2"/>
    <x v="0"/>
    <x v="0"/>
    <s v="Yes"/>
    <n v="20"/>
    <n v="20"/>
    <x v="8"/>
  </r>
  <r>
    <n v="3444"/>
    <s v="Bruno Ferreira"/>
    <x v="2"/>
    <d v="2024-09-26T00:00:00"/>
    <x v="0"/>
    <x v="2"/>
    <x v="2"/>
    <x v="1"/>
    <x v="1"/>
    <s v="Yes"/>
    <n v="20"/>
    <n v="12"/>
    <x v="10"/>
  </r>
  <r>
    <n v="3445"/>
    <s v="Carla Dias"/>
    <x v="1"/>
    <d v="2024-09-27T00:00:00"/>
    <x v="1"/>
    <x v="1"/>
    <x v="0"/>
    <x v="1"/>
    <x v="1"/>
    <s v="No"/>
    <n v="0"/>
    <n v="2"/>
    <x v="11"/>
  </r>
  <r>
    <n v="3446"/>
    <s v="Diogo Martins"/>
    <x v="0"/>
    <d v="2024-09-28T00:00:00"/>
    <x v="0"/>
    <x v="0"/>
    <x v="1"/>
    <x v="0"/>
    <x v="0"/>
    <s v="Yes"/>
    <n v="20"/>
    <n v="5"/>
    <x v="0"/>
  </r>
  <r>
    <n v="3447"/>
    <s v="Elisa Campos"/>
    <x v="2"/>
    <d v="2024-09-29T00:00:00"/>
    <x v="1"/>
    <x v="2"/>
    <x v="0"/>
    <x v="1"/>
    <x v="1"/>
    <s v="Yes"/>
    <n v="20"/>
    <n v="10"/>
    <x v="2"/>
  </r>
  <r>
    <n v="3448"/>
    <s v="Fabiana Lima"/>
    <x v="1"/>
    <d v="2024-09-30T00:00:00"/>
    <x v="0"/>
    <x v="1"/>
    <x v="2"/>
    <x v="1"/>
    <x v="1"/>
    <s v="No"/>
    <n v="0"/>
    <n v="0"/>
    <x v="1"/>
  </r>
  <r>
    <n v="3449"/>
    <s v="Gabriel Santos"/>
    <x v="0"/>
    <d v="2024-10-01T00:00:00"/>
    <x v="1"/>
    <x v="0"/>
    <x v="0"/>
    <x v="0"/>
    <x v="0"/>
    <s v="Yes"/>
    <n v="20"/>
    <n v="3"/>
    <x v="3"/>
  </r>
  <r>
    <n v="3450"/>
    <s v="Helena Ferreira"/>
    <x v="2"/>
    <d v="2024-10-02T00:00:00"/>
    <x v="0"/>
    <x v="2"/>
    <x v="1"/>
    <x v="1"/>
    <x v="1"/>
    <s v="Yes"/>
    <n v="20"/>
    <n v="15"/>
    <x v="7"/>
  </r>
  <r>
    <n v="3451"/>
    <s v="Ígor Nunes"/>
    <x v="1"/>
    <d v="2024-10-03T00:00:00"/>
    <x v="1"/>
    <x v="1"/>
    <x v="0"/>
    <x v="1"/>
    <x v="1"/>
    <s v="No"/>
    <n v="0"/>
    <n v="1"/>
    <x v="4"/>
  </r>
  <r>
    <n v="3452"/>
    <s v="Joana Silveira"/>
    <x v="0"/>
    <d v="2024-10-04T00:00:00"/>
    <x v="0"/>
    <x v="0"/>
    <x v="2"/>
    <x v="0"/>
    <x v="0"/>
    <s v="Yes"/>
    <n v="20"/>
    <n v="7"/>
    <x v="12"/>
  </r>
  <r>
    <n v="3453"/>
    <s v="Kléber Oliveira"/>
    <x v="2"/>
    <d v="2024-10-05T00:00:00"/>
    <x v="1"/>
    <x v="2"/>
    <x v="0"/>
    <x v="1"/>
    <x v="1"/>
    <s v="Yes"/>
    <n v="20"/>
    <n v="10"/>
    <x v="2"/>
  </r>
  <r>
    <n v="3454"/>
    <s v="Luciana Morais"/>
    <x v="1"/>
    <d v="2024-10-06T00:00:00"/>
    <x v="0"/>
    <x v="1"/>
    <x v="1"/>
    <x v="1"/>
    <x v="1"/>
    <s v="No"/>
    <n v="0"/>
    <n v="0"/>
    <x v="1"/>
  </r>
  <r>
    <n v="3455"/>
    <s v="Marcos Vinícius"/>
    <x v="0"/>
    <d v="2024-10-07T00:00:00"/>
    <x v="1"/>
    <x v="0"/>
    <x v="0"/>
    <x v="0"/>
    <x v="0"/>
    <s v="Yes"/>
    <n v="20"/>
    <n v="20"/>
    <x v="8"/>
  </r>
  <r>
    <n v="3456"/>
    <s v="Natália Barros"/>
    <x v="2"/>
    <d v="2024-10-08T00:00:00"/>
    <x v="0"/>
    <x v="2"/>
    <x v="2"/>
    <x v="1"/>
    <x v="1"/>
    <s v="Yes"/>
    <n v="20"/>
    <n v="15"/>
    <x v="7"/>
  </r>
  <r>
    <n v="3457"/>
    <s v="Oscar Sampaio"/>
    <x v="1"/>
    <d v="2024-10-09T00:00:00"/>
    <x v="1"/>
    <x v="1"/>
    <x v="0"/>
    <x v="1"/>
    <x v="1"/>
    <s v="No"/>
    <n v="0"/>
    <n v="1"/>
    <x v="4"/>
  </r>
  <r>
    <n v="3458"/>
    <s v="Patrícia Leite"/>
    <x v="0"/>
    <d v="2024-10-10T00:00:00"/>
    <x v="0"/>
    <x v="0"/>
    <x v="1"/>
    <x v="0"/>
    <x v="0"/>
    <s v="Yes"/>
    <n v="20"/>
    <n v="3"/>
    <x v="3"/>
  </r>
  <r>
    <n v="3459"/>
    <s v="Quênia Rocha"/>
    <x v="2"/>
    <d v="2024-10-11T00:00:00"/>
    <x v="1"/>
    <x v="2"/>
    <x v="0"/>
    <x v="1"/>
    <x v="1"/>
    <s v="Yes"/>
    <n v="20"/>
    <n v="10"/>
    <x v="2"/>
  </r>
  <r>
    <n v="3460"/>
    <s v="Rafael Torres"/>
    <x v="1"/>
    <d v="2024-10-12T00:00:00"/>
    <x v="0"/>
    <x v="1"/>
    <x v="2"/>
    <x v="1"/>
    <x v="1"/>
    <s v="No"/>
    <n v="0"/>
    <n v="0"/>
    <x v="1"/>
  </r>
  <r>
    <n v="3461"/>
    <s v="Sandra Gouveia"/>
    <x v="0"/>
    <d v="2024-10-13T00:00:00"/>
    <x v="1"/>
    <x v="0"/>
    <x v="0"/>
    <x v="0"/>
    <x v="0"/>
    <s v="Yes"/>
    <n v="20"/>
    <n v="15"/>
    <x v="14"/>
  </r>
  <r>
    <n v="3462"/>
    <s v="Tiago Lacerda"/>
    <x v="2"/>
    <d v="2024-10-14T00:00:00"/>
    <x v="0"/>
    <x v="2"/>
    <x v="1"/>
    <x v="1"/>
    <x v="1"/>
    <s v="Yes"/>
    <n v="20"/>
    <n v="15"/>
    <x v="7"/>
  </r>
  <r>
    <n v="3463"/>
    <s v="Ursula Fonseca"/>
    <x v="1"/>
    <d v="2024-10-15T00:00:00"/>
    <x v="1"/>
    <x v="1"/>
    <x v="0"/>
    <x v="1"/>
    <x v="1"/>
    <s v="No"/>
    <n v="0"/>
    <n v="1"/>
    <x v="4"/>
  </r>
  <r>
    <n v="3464"/>
    <s v="Vanessa Andrade"/>
    <x v="0"/>
    <d v="2024-10-16T00:00:00"/>
    <x v="0"/>
    <x v="0"/>
    <x v="2"/>
    <x v="0"/>
    <x v="0"/>
    <s v="Yes"/>
    <n v="20"/>
    <n v="7"/>
    <x v="12"/>
  </r>
  <r>
    <n v="3465"/>
    <s v="William Castro"/>
    <x v="2"/>
    <d v="2024-10-17T00:00:00"/>
    <x v="1"/>
    <x v="2"/>
    <x v="0"/>
    <x v="1"/>
    <x v="1"/>
    <s v="Yes"/>
    <n v="20"/>
    <n v="10"/>
    <x v="2"/>
  </r>
  <r>
    <n v="3466"/>
    <s v="Xavier Monteiro"/>
    <x v="1"/>
    <d v="2024-10-18T00:00:00"/>
    <x v="0"/>
    <x v="1"/>
    <x v="1"/>
    <x v="1"/>
    <x v="1"/>
    <s v="No"/>
    <n v="0"/>
    <n v="0"/>
    <x v="1"/>
  </r>
  <r>
    <n v="3467"/>
    <s v="Yasmin Figueira"/>
    <x v="0"/>
    <d v="2024-10-19T00:00:00"/>
    <x v="1"/>
    <x v="0"/>
    <x v="0"/>
    <x v="0"/>
    <x v="0"/>
    <s v="Yes"/>
    <n v="20"/>
    <n v="15"/>
    <x v="14"/>
  </r>
  <r>
    <n v="3468"/>
    <s v="Zacarias Mendonça"/>
    <x v="2"/>
    <d v="2024-10-20T00:00:00"/>
    <x v="0"/>
    <x v="2"/>
    <x v="2"/>
    <x v="1"/>
    <x v="1"/>
    <s v="Yes"/>
    <n v="20"/>
    <n v="12"/>
    <x v="10"/>
  </r>
  <r>
    <n v="3469"/>
    <s v="Amanda Menezes"/>
    <x v="1"/>
    <d v="2024-10-21T00:00:00"/>
    <x v="1"/>
    <x v="1"/>
    <x v="0"/>
    <x v="1"/>
    <x v="1"/>
    <s v="No"/>
    <n v="0"/>
    <n v="2"/>
    <x v="11"/>
  </r>
  <r>
    <n v="3470"/>
    <s v="Bruno Santos"/>
    <x v="0"/>
    <d v="2024-10-22T00:00:00"/>
    <x v="0"/>
    <x v="0"/>
    <x v="1"/>
    <x v="0"/>
    <x v="0"/>
    <s v="Yes"/>
    <n v="20"/>
    <n v="5"/>
    <x v="0"/>
  </r>
  <r>
    <n v="3471"/>
    <s v="Carla Ferreira"/>
    <x v="2"/>
    <d v="2024-10-23T00:00:00"/>
    <x v="1"/>
    <x v="2"/>
    <x v="0"/>
    <x v="1"/>
    <x v="1"/>
    <s v="Yes"/>
    <n v="20"/>
    <n v="10"/>
    <x v="2"/>
  </r>
  <r>
    <n v="3472"/>
    <s v="Diogo Alves"/>
    <x v="1"/>
    <d v="2024-10-24T00:00:00"/>
    <x v="0"/>
    <x v="1"/>
    <x v="2"/>
    <x v="1"/>
    <x v="1"/>
    <s v="No"/>
    <n v="0"/>
    <n v="0"/>
    <x v="1"/>
  </r>
  <r>
    <n v="3473"/>
    <s v="Elisa Neves"/>
    <x v="0"/>
    <d v="2024-10-25T00:00:00"/>
    <x v="1"/>
    <x v="0"/>
    <x v="0"/>
    <x v="0"/>
    <x v="0"/>
    <s v="Yes"/>
    <n v="20"/>
    <n v="3"/>
    <x v="3"/>
  </r>
  <r>
    <n v="3474"/>
    <s v="Fabiano Pires"/>
    <x v="2"/>
    <d v="2024-10-26T00:00:00"/>
    <x v="0"/>
    <x v="2"/>
    <x v="1"/>
    <x v="1"/>
    <x v="1"/>
    <s v="Yes"/>
    <n v="20"/>
    <n v="15"/>
    <x v="7"/>
  </r>
  <r>
    <n v="3475"/>
    <s v="Giovana Ribeiro"/>
    <x v="1"/>
    <d v="2024-10-27T00:00:00"/>
    <x v="1"/>
    <x v="1"/>
    <x v="0"/>
    <x v="1"/>
    <x v="1"/>
    <s v="No"/>
    <n v="0"/>
    <n v="1"/>
    <x v="4"/>
  </r>
  <r>
    <n v="3476"/>
    <s v="Hélio Costa"/>
    <x v="0"/>
    <d v="2024-10-28T00:00:00"/>
    <x v="0"/>
    <x v="0"/>
    <x v="2"/>
    <x v="0"/>
    <x v="0"/>
    <s v="Yes"/>
    <n v="20"/>
    <n v="7"/>
    <x v="12"/>
  </r>
  <r>
    <n v="3477"/>
    <s v="Íris Loureiro"/>
    <x v="2"/>
    <d v="2024-10-29T00:00:00"/>
    <x v="1"/>
    <x v="2"/>
    <x v="0"/>
    <x v="1"/>
    <x v="1"/>
    <s v="Yes"/>
    <n v="20"/>
    <n v="10"/>
    <x v="2"/>
  </r>
  <r>
    <n v="3478"/>
    <s v="João Pereira"/>
    <x v="1"/>
    <d v="2024-10-30T00:00:00"/>
    <x v="0"/>
    <x v="1"/>
    <x v="1"/>
    <x v="1"/>
    <x v="1"/>
    <s v="No"/>
    <n v="0"/>
    <n v="0"/>
    <x v="1"/>
  </r>
  <r>
    <n v="3479"/>
    <s v="Klara Silva"/>
    <x v="0"/>
    <d v="2024-10-31T00:00:00"/>
    <x v="1"/>
    <x v="0"/>
    <x v="0"/>
    <x v="0"/>
    <x v="0"/>
    <s v="Yes"/>
    <n v="20"/>
    <n v="20"/>
    <x v="8"/>
  </r>
  <r>
    <n v="3480"/>
    <s v="Luciana Barros"/>
    <x v="2"/>
    <d v="2024-11-01T00:00:00"/>
    <x v="0"/>
    <x v="2"/>
    <x v="2"/>
    <x v="1"/>
    <x v="1"/>
    <s v="Yes"/>
    <n v="20"/>
    <n v="15"/>
    <x v="7"/>
  </r>
  <r>
    <n v="3481"/>
    <s v="Marcos Gomes"/>
    <x v="1"/>
    <d v="2024-11-02T00:00:00"/>
    <x v="1"/>
    <x v="1"/>
    <x v="0"/>
    <x v="1"/>
    <x v="1"/>
    <s v="No"/>
    <n v="0"/>
    <n v="1"/>
    <x v="4"/>
  </r>
  <r>
    <n v="3482"/>
    <s v="Natália Soares"/>
    <x v="0"/>
    <d v="2024-11-03T00:00:00"/>
    <x v="0"/>
    <x v="0"/>
    <x v="1"/>
    <x v="0"/>
    <x v="0"/>
    <s v="Yes"/>
    <n v="20"/>
    <n v="3"/>
    <x v="3"/>
  </r>
  <r>
    <n v="3483"/>
    <s v="Oscar Machado"/>
    <x v="2"/>
    <d v="2024-11-04T00:00:00"/>
    <x v="1"/>
    <x v="2"/>
    <x v="0"/>
    <x v="1"/>
    <x v="1"/>
    <s v="Yes"/>
    <n v="20"/>
    <n v="10"/>
    <x v="2"/>
  </r>
  <r>
    <n v="3484"/>
    <s v="Patrícia Lima"/>
    <x v="1"/>
    <d v="2024-11-05T00:00:00"/>
    <x v="0"/>
    <x v="1"/>
    <x v="2"/>
    <x v="1"/>
    <x v="1"/>
    <s v="No"/>
    <n v="0"/>
    <n v="0"/>
    <x v="1"/>
  </r>
  <r>
    <n v="3485"/>
    <s v="Quirino Neto"/>
    <x v="0"/>
    <d v="2024-11-06T00:00:00"/>
    <x v="1"/>
    <x v="0"/>
    <x v="0"/>
    <x v="0"/>
    <x v="0"/>
    <s v="Yes"/>
    <n v="20"/>
    <n v="15"/>
    <x v="14"/>
  </r>
  <r>
    <n v="3486"/>
    <s v="Rafaela Souza"/>
    <x v="1"/>
    <d v="2024-11-07T00:00:00"/>
    <x v="0"/>
    <x v="1"/>
    <x v="0"/>
    <x v="1"/>
    <x v="1"/>
    <s v="No"/>
    <n v="0"/>
    <n v="0"/>
    <x v="1"/>
  </r>
  <r>
    <n v="3487"/>
    <s v="Sandro Almeida"/>
    <x v="0"/>
    <d v="2024-11-08T00:00:00"/>
    <x v="1"/>
    <x v="0"/>
    <x v="2"/>
    <x v="0"/>
    <x v="0"/>
    <s v="Yes"/>
    <n v="20"/>
    <n v="7"/>
    <x v="12"/>
  </r>
  <r>
    <n v="3488"/>
    <s v="Tânia Ribeiro"/>
    <x v="2"/>
    <d v="2024-11-09T00:00:00"/>
    <x v="0"/>
    <x v="2"/>
    <x v="1"/>
    <x v="1"/>
    <x v="1"/>
    <s v="Yes"/>
    <n v="20"/>
    <n v="10"/>
    <x v="2"/>
  </r>
  <r>
    <n v="3489"/>
    <s v="Ugo Dias"/>
    <x v="1"/>
    <d v="2024-11-10T00:00:00"/>
    <x v="1"/>
    <x v="1"/>
    <x v="2"/>
    <x v="1"/>
    <x v="1"/>
    <s v="No"/>
    <n v="0"/>
    <n v="1"/>
    <x v="4"/>
  </r>
  <r>
    <n v="3490"/>
    <s v="Valéria Lima"/>
    <x v="0"/>
    <d v="2024-11-11T00:00:00"/>
    <x v="0"/>
    <x v="0"/>
    <x v="0"/>
    <x v="0"/>
    <x v="0"/>
    <s v="Yes"/>
    <n v="20"/>
    <n v="15"/>
    <x v="14"/>
  </r>
  <r>
    <n v="3491"/>
    <s v="William Fernandes"/>
    <x v="2"/>
    <d v="2024-11-12T00:00:00"/>
    <x v="1"/>
    <x v="2"/>
    <x v="0"/>
    <x v="1"/>
    <x v="1"/>
    <s v="Yes"/>
    <n v="20"/>
    <n v="5"/>
    <x v="13"/>
  </r>
  <r>
    <n v="3492"/>
    <s v="Xuxa Mendes"/>
    <x v="1"/>
    <d v="2024-11-13T00:00:00"/>
    <x v="0"/>
    <x v="1"/>
    <x v="1"/>
    <x v="1"/>
    <x v="1"/>
    <s v="No"/>
    <n v="0"/>
    <n v="0"/>
    <x v="1"/>
  </r>
  <r>
    <n v="3493"/>
    <s v="Ygor Farias"/>
    <x v="0"/>
    <d v="2024-11-14T00:00:00"/>
    <x v="1"/>
    <x v="0"/>
    <x v="2"/>
    <x v="0"/>
    <x v="0"/>
    <s v="Yes"/>
    <n v="20"/>
    <n v="20"/>
    <x v="8"/>
  </r>
  <r>
    <n v="3494"/>
    <s v="Zilda Barros"/>
    <x v="2"/>
    <d v="2024-11-15T00:00:00"/>
    <x v="0"/>
    <x v="2"/>
    <x v="2"/>
    <x v="1"/>
    <x v="1"/>
    <s v="Yes"/>
    <n v="20"/>
    <n v="12"/>
    <x v="10"/>
  </r>
  <r>
    <n v="3495"/>
    <s v="Amanda Santos"/>
    <x v="1"/>
    <d v="2024-11-16T00:00:00"/>
    <x v="1"/>
    <x v="1"/>
    <x v="0"/>
    <x v="1"/>
    <x v="1"/>
    <s v="No"/>
    <n v="0"/>
    <n v="2"/>
    <x v="11"/>
  </r>
  <r>
    <n v="3496"/>
    <s v="Bruno Costa"/>
    <x v="0"/>
    <d v="2024-11-17T00:00:00"/>
    <x v="0"/>
    <x v="0"/>
    <x v="1"/>
    <x v="0"/>
    <x v="0"/>
    <s v="Yes"/>
    <n v="20"/>
    <n v="5"/>
    <x v="0"/>
  </r>
  <r>
    <n v="3497"/>
    <s v="Carla Rodrigues"/>
    <x v="2"/>
    <d v="2024-11-18T00:00:00"/>
    <x v="1"/>
    <x v="2"/>
    <x v="0"/>
    <x v="1"/>
    <x v="1"/>
    <s v="Yes"/>
    <n v="20"/>
    <n v="10"/>
    <x v="2"/>
  </r>
  <r>
    <n v="3498"/>
    <s v="Diogo Pereira"/>
    <x v="1"/>
    <d v="2024-11-19T00:00:00"/>
    <x v="0"/>
    <x v="1"/>
    <x v="2"/>
    <x v="1"/>
    <x v="1"/>
    <s v="No"/>
    <n v="0"/>
    <n v="0"/>
    <x v="1"/>
  </r>
  <r>
    <n v="3499"/>
    <s v="Elisa Correia"/>
    <x v="0"/>
    <d v="2024-11-20T00:00:00"/>
    <x v="1"/>
    <x v="0"/>
    <x v="0"/>
    <x v="0"/>
    <x v="0"/>
    <s v="Yes"/>
    <n v="20"/>
    <n v="3"/>
    <x v="3"/>
  </r>
  <r>
    <n v="3500"/>
    <s v="Fábio Lourenço"/>
    <x v="2"/>
    <d v="2024-11-21T00:00:00"/>
    <x v="0"/>
    <x v="2"/>
    <x v="1"/>
    <x v="1"/>
    <x v="1"/>
    <s v="Yes"/>
    <n v="20"/>
    <n v="15"/>
    <x v="7"/>
  </r>
  <r>
    <n v="3501"/>
    <s v="Gabriela Neves"/>
    <x v="1"/>
    <d v="2024-11-22T00:00:00"/>
    <x v="1"/>
    <x v="1"/>
    <x v="0"/>
    <x v="1"/>
    <x v="1"/>
    <s v="No"/>
    <n v="0"/>
    <n v="1"/>
    <x v="4"/>
  </r>
  <r>
    <n v="3502"/>
    <s v="Henrique Gonçalves"/>
    <x v="0"/>
    <d v="2024-11-23T00:00:00"/>
    <x v="0"/>
    <x v="0"/>
    <x v="2"/>
    <x v="0"/>
    <x v="0"/>
    <s v="Yes"/>
    <n v="20"/>
    <n v="7"/>
    <x v="12"/>
  </r>
  <r>
    <n v="3503"/>
    <s v="Íris Santos"/>
    <x v="2"/>
    <d v="2024-11-24T00:00:00"/>
    <x v="1"/>
    <x v="2"/>
    <x v="0"/>
    <x v="1"/>
    <x v="1"/>
    <s v="Yes"/>
    <n v="20"/>
    <n v="10"/>
    <x v="2"/>
  </r>
  <r>
    <n v="3504"/>
    <s v="João Marcelo Alves"/>
    <x v="1"/>
    <d v="2024-11-25T00:00:00"/>
    <x v="0"/>
    <x v="1"/>
    <x v="1"/>
    <x v="1"/>
    <x v="1"/>
    <s v="No"/>
    <n v="0"/>
    <n v="0"/>
    <x v="1"/>
  </r>
  <r>
    <n v="3505"/>
    <s v="Klara Fonseca"/>
    <x v="0"/>
    <d v="2024-11-26T00:00:00"/>
    <x v="1"/>
    <x v="0"/>
    <x v="0"/>
    <x v="0"/>
    <x v="0"/>
    <s v="Yes"/>
    <n v="20"/>
    <n v="20"/>
    <x v="8"/>
  </r>
  <r>
    <n v="3506"/>
    <s v="Lucas Mendonça"/>
    <x v="2"/>
    <d v="2024-11-27T00:00:00"/>
    <x v="0"/>
    <x v="2"/>
    <x v="2"/>
    <x v="1"/>
    <x v="1"/>
    <s v="Yes"/>
    <n v="20"/>
    <n v="15"/>
    <x v="7"/>
  </r>
  <r>
    <n v="3507"/>
    <s v="Marcela Torres"/>
    <x v="1"/>
    <d v="2024-11-28T00:00:00"/>
    <x v="1"/>
    <x v="1"/>
    <x v="0"/>
    <x v="1"/>
    <x v="1"/>
    <s v="No"/>
    <n v="0"/>
    <n v="1"/>
    <x v="4"/>
  </r>
  <r>
    <n v="3508"/>
    <s v="Natália Castro"/>
    <x v="0"/>
    <d v="2024-11-29T00:00:00"/>
    <x v="0"/>
    <x v="0"/>
    <x v="1"/>
    <x v="0"/>
    <x v="0"/>
    <s v="Yes"/>
    <n v="20"/>
    <n v="3"/>
    <x v="3"/>
  </r>
  <r>
    <n v="3509"/>
    <s v="Oscar Martins"/>
    <x v="2"/>
    <d v="2024-11-30T00:00:00"/>
    <x v="1"/>
    <x v="2"/>
    <x v="0"/>
    <x v="1"/>
    <x v="1"/>
    <s v="Yes"/>
    <n v="20"/>
    <n v="10"/>
    <x v="2"/>
  </r>
  <r>
    <n v="3510"/>
    <s v="Patrícia Oliveira"/>
    <x v="1"/>
    <d v="2024-12-01T00:00:00"/>
    <x v="0"/>
    <x v="1"/>
    <x v="2"/>
    <x v="1"/>
    <x v="1"/>
    <s v="No"/>
    <n v="0"/>
    <n v="0"/>
    <x v="1"/>
  </r>
  <r>
    <n v="3511"/>
    <s v="Quentin Nogueira"/>
    <x v="0"/>
    <d v="2024-12-02T00:00:00"/>
    <x v="1"/>
    <x v="0"/>
    <x v="0"/>
    <x v="0"/>
    <x v="0"/>
    <s v="Yes"/>
    <n v="20"/>
    <n v="15"/>
    <x v="14"/>
  </r>
  <r>
    <n v="3512"/>
    <s v="Raquel Silva"/>
    <x v="2"/>
    <d v="2024-12-03T00:00:00"/>
    <x v="0"/>
    <x v="2"/>
    <x v="1"/>
    <x v="1"/>
    <x v="1"/>
    <s v="Yes"/>
    <n v="20"/>
    <n v="15"/>
    <x v="7"/>
  </r>
  <r>
    <n v="3513"/>
    <s v="Sandro Gomes"/>
    <x v="1"/>
    <d v="2024-12-04T00:00:00"/>
    <x v="1"/>
    <x v="1"/>
    <x v="0"/>
    <x v="1"/>
    <x v="1"/>
    <s v="No"/>
    <n v="0"/>
    <n v="1"/>
    <x v="4"/>
  </r>
  <r>
    <n v="3514"/>
    <s v="Tânia Machado"/>
    <x v="0"/>
    <d v="2024-12-05T00:00:00"/>
    <x v="0"/>
    <x v="0"/>
    <x v="2"/>
    <x v="0"/>
    <x v="0"/>
    <s v="Yes"/>
    <n v="20"/>
    <n v="7"/>
    <x v="12"/>
  </r>
  <r>
    <n v="3515"/>
    <s v="Ursula Silva"/>
    <x v="2"/>
    <d v="2024-12-06T00:00:00"/>
    <x v="1"/>
    <x v="2"/>
    <x v="0"/>
    <x v="1"/>
    <x v="1"/>
    <s v="Yes"/>
    <n v="20"/>
    <n v="10"/>
    <x v="2"/>
  </r>
  <r>
    <n v="3516"/>
    <s v="Vanessa Moraes"/>
    <x v="1"/>
    <d v="2024-12-07T00:00:00"/>
    <x v="0"/>
    <x v="1"/>
    <x v="1"/>
    <x v="1"/>
    <x v="1"/>
    <s v="No"/>
    <n v="0"/>
    <n v="0"/>
    <x v="1"/>
  </r>
  <r>
    <n v="3517"/>
    <s v="William Carvalho"/>
    <x v="0"/>
    <d v="2024-12-08T00:00:00"/>
    <x v="1"/>
    <x v="0"/>
    <x v="0"/>
    <x v="0"/>
    <x v="0"/>
    <s v="Yes"/>
    <n v="20"/>
    <n v="20"/>
    <x v="8"/>
  </r>
  <r>
    <n v="3518"/>
    <s v="Xavier Reis"/>
    <x v="2"/>
    <d v="2024-12-09T00:00:00"/>
    <x v="0"/>
    <x v="2"/>
    <x v="2"/>
    <x v="1"/>
    <x v="1"/>
    <s v="Yes"/>
    <n v="20"/>
    <n v="12"/>
    <x v="10"/>
  </r>
  <r>
    <n v="3519"/>
    <s v="Yasmin Rocha"/>
    <x v="1"/>
    <d v="2024-12-10T00:00:00"/>
    <x v="1"/>
    <x v="1"/>
    <x v="0"/>
    <x v="1"/>
    <x v="1"/>
    <s v="No"/>
    <n v="0"/>
    <n v="2"/>
    <x v="11"/>
  </r>
  <r>
    <n v="3520"/>
    <s v="Zacarias Duarte"/>
    <x v="0"/>
    <d v="2024-12-11T00:00:00"/>
    <x v="0"/>
    <x v="0"/>
    <x v="1"/>
    <x v="0"/>
    <x v="0"/>
    <s v="Yes"/>
    <n v="20"/>
    <n v="5"/>
    <x v="0"/>
  </r>
  <r>
    <n v="3521"/>
    <s v="Amanda Freitas"/>
    <x v="2"/>
    <d v="2024-12-12T00:00:00"/>
    <x v="1"/>
    <x v="2"/>
    <x v="0"/>
    <x v="1"/>
    <x v="1"/>
    <s v="Yes"/>
    <n v="20"/>
    <n v="10"/>
    <x v="2"/>
  </r>
  <r>
    <n v="3522"/>
    <s v="Bruno Almeida"/>
    <x v="1"/>
    <d v="2024-12-13T00:00:00"/>
    <x v="0"/>
    <x v="1"/>
    <x v="2"/>
    <x v="1"/>
    <x v="1"/>
    <s v="No"/>
    <n v="0"/>
    <n v="0"/>
    <x v="1"/>
  </r>
  <r>
    <n v="3523"/>
    <s v="Carla Siqueira"/>
    <x v="0"/>
    <d v="2024-12-14T00:00:00"/>
    <x v="1"/>
    <x v="0"/>
    <x v="0"/>
    <x v="0"/>
    <x v="0"/>
    <s v="Yes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F8838-679E-4223-B17F-13DAAC5B868B}" name="Tabela dinâmica EA 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9:B21" firstHeaderRow="1" firstDataRow="1" firstDataCol="1" rowPageCount="1" colPageCount="1"/>
  <pivotFields count="13">
    <pivotField showAll="0"/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h="1"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33622-0C3F-4F26-8B46-410CB1B5A2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0:B13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4527E-3E21-4AD3-926F-7DED579ED3A4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7:B30" firstHeaderRow="1" firstDataRow="1" firstDataCol="1" rowPageCount="1" colPageCount="1"/>
  <pivotFields count="13">
    <pivotField showAll="0"/>
    <pivotField showAll="0"/>
    <pivotField axis="axisRow" showAll="0">
      <items count="4">
        <item h="1"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5B1BA0B-E70C-4D4A-A6E2-423317A109AA}" sourceName="Subscription Type">
  <pivotTables>
    <pivotTable tabId="3" name="Tabela dinâmica1"/>
    <pivotTable tabId="3" name="Tabela dinâmica EA SEASONPASS"/>
    <pivotTable tabId="3" name="Tabela dinâmica7"/>
  </pivotTables>
  <data>
    <tabular pivotCacheId="82315239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D26AE0A-EE83-415C-AC3E-79CE99C2F7F9}" cache="SegmentaçãodeDados_Subscription_Type" caption="Tipo de Assinatura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8" sqref="A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8" sqref="A8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6:D30"/>
  <sheetViews>
    <sheetView showGridLines="0" workbookViewId="0">
      <selection activeCell="A8" sqref="A8"/>
    </sheetView>
  </sheetViews>
  <sheetFormatPr defaultRowHeight="15"/>
  <cols>
    <col min="1" max="1" width="18.42578125" bestFit="1" customWidth="1"/>
    <col min="2" max="2" width="35.140625" bestFit="1" customWidth="1"/>
    <col min="3" max="3" width="8.28515625" customWidth="1"/>
    <col min="4" max="5" width="12.140625" bestFit="1" customWidth="1"/>
    <col min="6" max="6" width="15.140625" bestFit="1" customWidth="1"/>
    <col min="7" max="7" width="13.28515625" bestFit="1" customWidth="1"/>
    <col min="8" max="8" width="11.28515625" bestFit="1" customWidth="1"/>
    <col min="9" max="9" width="12.28515625" bestFit="1" customWidth="1"/>
    <col min="10" max="10" width="14.42578125" bestFit="1" customWidth="1"/>
    <col min="11" max="11" width="12.28515625" bestFit="1" customWidth="1"/>
    <col min="12" max="20" width="10.140625" bestFit="1" customWidth="1"/>
    <col min="21" max="21" width="13.28515625" bestFit="1" customWidth="1"/>
    <col min="22" max="29" width="11.28515625" bestFit="1" customWidth="1"/>
    <col min="30" max="30" width="14.42578125" bestFit="1" customWidth="1"/>
    <col min="31" max="31" width="10.7109375" bestFit="1" customWidth="1"/>
  </cols>
  <sheetData>
    <row r="6" spans="1:2">
      <c r="A6" t="s">
        <v>318</v>
      </c>
    </row>
    <row r="8" spans="1:2">
      <c r="A8" s="12" t="s">
        <v>16</v>
      </c>
      <c r="B8" t="s">
        <v>24</v>
      </c>
    </row>
    <row r="10" spans="1:2">
      <c r="A10" s="12" t="s">
        <v>313</v>
      </c>
      <c r="B10" t="s">
        <v>315</v>
      </c>
    </row>
    <row r="11" spans="1:2">
      <c r="A11" s="13" t="s">
        <v>23</v>
      </c>
      <c r="B11" s="14">
        <v>217</v>
      </c>
    </row>
    <row r="12" spans="1:2">
      <c r="A12" s="13" t="s">
        <v>19</v>
      </c>
      <c r="B12" s="14">
        <v>1522</v>
      </c>
    </row>
    <row r="13" spans="1:2">
      <c r="A13" s="13" t="s">
        <v>314</v>
      </c>
      <c r="B13" s="14">
        <v>1739</v>
      </c>
    </row>
    <row r="15" spans="1:2">
      <c r="A15" s="13" t="s">
        <v>319</v>
      </c>
    </row>
    <row r="17" spans="1:4">
      <c r="A17" s="12" t="s">
        <v>16</v>
      </c>
      <c r="B17" t="s">
        <v>24</v>
      </c>
    </row>
    <row r="19" spans="1:4">
      <c r="A19" s="12" t="s">
        <v>313</v>
      </c>
      <c r="B19" t="s">
        <v>317</v>
      </c>
    </row>
    <row r="20" spans="1:4">
      <c r="A20" s="13" t="s">
        <v>18</v>
      </c>
      <c r="B20" s="21">
        <v>600</v>
      </c>
    </row>
    <row r="21" spans="1:4">
      <c r="A21" s="13" t="s">
        <v>314</v>
      </c>
      <c r="B21" s="21">
        <v>600</v>
      </c>
      <c r="D21" s="17">
        <f>GETPIVOTDATA("EA Play Season Pass
Price",$A$19)</f>
        <v>600</v>
      </c>
    </row>
    <row r="23" spans="1:4">
      <c r="A23" t="s">
        <v>321</v>
      </c>
    </row>
    <row r="25" spans="1:4">
      <c r="A25" s="12" t="s">
        <v>16</v>
      </c>
      <c r="B25" t="s">
        <v>24</v>
      </c>
    </row>
    <row r="27" spans="1:4">
      <c r="A27" s="12" t="s">
        <v>313</v>
      </c>
      <c r="B27" t="s">
        <v>320</v>
      </c>
    </row>
    <row r="28" spans="1:4">
      <c r="A28" s="13" t="s">
        <v>26</v>
      </c>
      <c r="B28" s="14">
        <v>520</v>
      </c>
    </row>
    <row r="29" spans="1:4">
      <c r="A29" s="13" t="s">
        <v>18</v>
      </c>
      <c r="B29" s="14">
        <v>400</v>
      </c>
    </row>
    <row r="30" spans="1:4">
      <c r="A30" s="13" t="s">
        <v>314</v>
      </c>
      <c r="B30" s="14">
        <v>920</v>
      </c>
      <c r="D30" s="17">
        <f>GETPIVOTDATA("Minecraft Season Pass Price",$A$27)</f>
        <v>920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K76"/>
  <sheetViews>
    <sheetView showGridLines="0" showRowColHeaders="0" tabSelected="1" zoomScale="120" zoomScaleNormal="120" workbookViewId="0">
      <selection activeCell="F33" sqref="F3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7.28515625" style="18" customWidth="1"/>
    <col min="2" max="2" width="10" customWidth="1"/>
    <col min="12" max="12" width="6.5703125" customWidth="1"/>
    <col min="14" max="14" width="15.7109375" customWidth="1"/>
    <col min="15" max="15" width="9.140625" customWidth="1"/>
  </cols>
  <sheetData>
    <row r="1" spans="1:37" ht="8.25" customHeight="1"/>
    <row r="2" spans="1:37" ht="32.25" customHeight="1" thickBot="1">
      <c r="A2" s="19"/>
      <c r="B2" s="15"/>
      <c r="C2" s="20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37" ht="31.5" customHeight="1" thickTop="1"/>
    <row r="4" spans="1:37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22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2:37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2:3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2:37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2:37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2:37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2:37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2:37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2:37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2:37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2:37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2:3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2:37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2:37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2:37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2:37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2:37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2:37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2:37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2:37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2:37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:37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2:37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2:37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2:37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2:37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2:37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2:37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2:37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2:37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2:37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2:37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2:37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2:37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2:37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2:37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2:37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:37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2:37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2:37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:37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2:37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2:37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2:37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2:37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2:37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2:37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2:37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2:37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2:37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2:37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2:37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2:37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2:37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2:37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2:37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2:37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2:37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2:37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2:37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2:37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574C4-5EF7-4302-AF5E-F533CB61B59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Rodolfo Leite</cp:lastModifiedBy>
  <dcterms:created xsi:type="dcterms:W3CDTF">2024-12-19T13:13:10Z</dcterms:created>
  <dcterms:modified xsi:type="dcterms:W3CDTF">2026-05-01T14:38:25Z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